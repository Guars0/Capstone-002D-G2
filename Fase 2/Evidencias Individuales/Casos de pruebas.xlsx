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iselle\Downloads\Documentación actualizada-20251105T020312Z-1-001\Documentación actualizada\"/>
    </mc:Choice>
  </mc:AlternateContent>
  <xr:revisionPtr revIDLastSave="0" documentId="13_ncr:1_{36FAE58D-831A-4964-ABE4-213FA7DA152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ortada" sheetId="1" r:id="rId1"/>
    <sheet name="Identificación Casos" sheetId="2" r:id="rId2"/>
    <sheet name="Control" sheetId="3" r:id="rId3"/>
    <sheet name="Datos del plan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kA7ieyuMzBldzE4/ub3YwkGFGpMr4YLS3LBsOAaIsus="/>
    </ext>
  </extLst>
</workbook>
</file>

<file path=xl/calcChain.xml><?xml version="1.0" encoding="utf-8"?>
<calcChain xmlns="http://schemas.openxmlformats.org/spreadsheetml/2006/main">
  <c r="G36" i="3" l="1"/>
  <c r="G38" i="3" s="1"/>
  <c r="D13" i="3"/>
  <c r="D10" i="3"/>
  <c r="D9" i="3"/>
  <c r="D8" i="3"/>
  <c r="D7" i="3"/>
  <c r="D6" i="3"/>
  <c r="D16" i="3" s="1"/>
</calcChain>
</file>

<file path=xl/sharedStrings.xml><?xml version="1.0" encoding="utf-8"?>
<sst xmlns="http://schemas.openxmlformats.org/spreadsheetml/2006/main" count="231" uniqueCount="117">
  <si>
    <t xml:space="preserve">Plan de prueba </t>
  </si>
  <si>
    <t>Integrantes:
Javier Huaiquicheo, 
Susana Lapeyre, 
Guiselle Montes.</t>
  </si>
  <si>
    <t>ID</t>
  </si>
  <si>
    <t>Nombre de la prueba</t>
  </si>
  <si>
    <t>Tipo</t>
  </si>
  <si>
    <t>Resultado esperado</t>
  </si>
  <si>
    <t>Resultado obtenido</t>
  </si>
  <si>
    <t>Modulo a probar</t>
  </si>
  <si>
    <t>Resultado</t>
  </si>
  <si>
    <t>Candidato a automatizar</t>
  </si>
  <si>
    <t>Observación</t>
  </si>
  <si>
    <t>Responsable ejecución</t>
  </si>
  <si>
    <t>Complejidad</t>
  </si>
  <si>
    <t>CDP_01</t>
  </si>
  <si>
    <t>Creación de cuentas de entrenadores</t>
  </si>
  <si>
    <t>Funcional</t>
  </si>
  <si>
    <t>El sistema genera la cuenta y muestra un mensaje de confirmación.</t>
  </si>
  <si>
    <t>Gestión de Usuarios</t>
  </si>
  <si>
    <t>Sí</t>
  </si>
  <si>
    <t>-</t>
  </si>
  <si>
    <t>Analista de pruebas</t>
  </si>
  <si>
    <t>Baja</t>
  </si>
  <si>
    <t>CDP_02</t>
  </si>
  <si>
    <t>Iniciar sesión</t>
  </si>
  <si>
    <t>El sistema valida los datos e inicia sesión.</t>
  </si>
  <si>
    <t>Autenticación</t>
  </si>
  <si>
    <t>No</t>
  </si>
  <si>
    <t>CDP_03</t>
  </si>
  <si>
    <t>Establecer y modificar los distintos estados de disponibilidad de un Entrenador</t>
  </si>
  <si>
    <t>El estado del Entrenador cambia a "Vacaciones" o "Licencia".</t>
  </si>
  <si>
    <t>Media</t>
  </si>
  <si>
    <t>CDP_04</t>
  </si>
  <si>
    <t>Cerrar sesión</t>
  </si>
  <si>
    <t>El sistema lo redirige a la vista de login y finaliza la sesión.</t>
  </si>
  <si>
    <t>CDP_05</t>
  </si>
  <si>
    <t>Gestionar (editar) los datos personales</t>
  </si>
  <si>
    <t>El sistema actualiza la información y muestra un mensaje de confirmación.</t>
  </si>
  <si>
    <t>Gestión de Perfil</t>
  </si>
  <si>
    <t>CDP_06</t>
  </si>
  <si>
    <t>El sistema actualiza la ficha y confirma la modificación.</t>
  </si>
  <si>
    <t>Gestión de Canes</t>
  </si>
  <si>
    <t>CDP_07</t>
  </si>
  <si>
    <t>Eliminar la ficha de un can</t>
  </si>
  <si>
    <t>El sistema borra la ficha y muestra mensaje de confirmación.</t>
  </si>
  <si>
    <t>CDP_08</t>
  </si>
  <si>
    <t>El sistema muestra la ficha correspondiente.</t>
  </si>
  <si>
    <t>Búsqueda de Canes</t>
  </si>
  <si>
    <t>CDP_09</t>
  </si>
  <si>
    <t>Registrar una sesión de entrenamiento</t>
  </si>
  <si>
    <t>El sistema guarda la sesión y muestra mensaje de confirmación.</t>
  </si>
  <si>
    <t>Registro de Entrenamiento</t>
  </si>
  <si>
    <t>CDP_10</t>
  </si>
  <si>
    <t>Editar una sesión de entrenamiento</t>
  </si>
  <si>
    <t>El sistema actualiza la sesión y muestra confirmación.</t>
  </si>
  <si>
    <t>CDP_11</t>
  </si>
  <si>
    <t>Eliminar una sesión de entrenamiento</t>
  </si>
  <si>
    <t>El sistema elimina la sesión y muestra mensaje de confirmación.</t>
  </si>
  <si>
    <t>CDP_12</t>
  </si>
  <si>
    <t>Consultar el historial completo de entrenamientos</t>
  </si>
  <si>
    <t>El sistema muestra todas las sesiones registradas de ese can.</t>
  </si>
  <si>
    <t>Historial de Entrenamiento</t>
  </si>
  <si>
    <t>CDP_13</t>
  </si>
  <si>
    <t>Registrar evaluaciones periódicas de desempeño</t>
  </si>
  <si>
    <t>El sistema almacena la evaluación y muestra mensaje de confirmación.</t>
  </si>
  <si>
    <t>Gestión de Evaluación</t>
  </si>
  <si>
    <t>CDP_14</t>
  </si>
  <si>
    <t>Visualizar un informe de desempeño de un can</t>
  </si>
  <si>
    <t>El sistema muestra un reporte detallado del desempeño.</t>
  </si>
  <si>
    <t>Reportes y Consultas</t>
  </si>
  <si>
    <t>CDP_15</t>
  </si>
  <si>
    <t>Adjuntar documentos médicos al perfil del can</t>
  </si>
  <si>
    <t>El sistema guarda el documento y lo muestra en la ficha.</t>
  </si>
  <si>
    <t>Gestión de Documentos</t>
  </si>
  <si>
    <t>CDP_16</t>
  </si>
  <si>
    <t>Generar reportes mensuales de todos los canes</t>
  </si>
  <si>
    <t>El sistema crea el reporte en PDF/Excel y lo muestra.</t>
  </si>
  <si>
    <t>Reportes</t>
  </si>
  <si>
    <t>Alta</t>
  </si>
  <si>
    <t>CDP_17</t>
  </si>
  <si>
    <t>El sistema actualiza el estado y muestra confirmación.</t>
  </si>
  <si>
    <t>CDP_18</t>
  </si>
  <si>
    <t>Recibir notificaciones dentro del panel de la aplicación</t>
  </si>
  <si>
    <t>El entrenador recibe la alerta en su panel o correo.</t>
  </si>
  <si>
    <t>Notificaciones</t>
  </si>
  <si>
    <t>CDP_19</t>
  </si>
  <si>
    <t>Recibir alertas cuando un can tenga evaluaciones pendientes</t>
  </si>
  <si>
    <t>El administrador recibe la notificación en su panel.</t>
  </si>
  <si>
    <t>Alertas</t>
  </si>
  <si>
    <t>CDP_20</t>
  </si>
  <si>
    <t>Recibir alertas cuando un can cambie de estado</t>
  </si>
  <si>
    <t>El entrenador recibe notificación inmediata.</t>
  </si>
  <si>
    <t>CDP_21</t>
  </si>
  <si>
    <t>Gestionar roles y permisos de usuarios</t>
  </si>
  <si>
    <t>El sistema actualiza permisos y confirma acción.</t>
  </si>
  <si>
    <t>Casos</t>
  </si>
  <si>
    <t>OK</t>
  </si>
  <si>
    <t>NOK</t>
  </si>
  <si>
    <t>No ejecutado</t>
  </si>
  <si>
    <t>Bloqueado</t>
  </si>
  <si>
    <t>Obsoleto</t>
  </si>
  <si>
    <t>Total de casos</t>
  </si>
  <si>
    <t>% de  avance</t>
  </si>
  <si>
    <t>Total casos que ejecuto cada integrante del equipo</t>
  </si>
  <si>
    <t>Total Casos</t>
  </si>
  <si>
    <t>SI</t>
  </si>
  <si>
    <t>No Funcional</t>
  </si>
  <si>
    <t>NO</t>
  </si>
  <si>
    <t>UAT</t>
  </si>
  <si>
    <t>Código</t>
  </si>
  <si>
    <t>End to End</t>
  </si>
  <si>
    <t>Stress</t>
  </si>
  <si>
    <t>Rendimiento</t>
  </si>
  <si>
    <t>Carga</t>
  </si>
  <si>
    <t>Se pospone a versión futura</t>
  </si>
  <si>
    <t>Acceder y editar ficha de un can</t>
  </si>
  <si>
    <t>Buscar ficha de un can por nombre</t>
  </si>
  <si>
    <t>Marcar estado del can (apto, entrenamiento, adopción)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</si>
</sst>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sz val="49"/>
      <color theme="1"/>
      <name val="Calibri"/>
    </font>
    <font>
      <sz val="11"/>
      <name val="Calibri"/>
    </font>
    <font>
      <sz val="10"/>
      <color theme="1"/>
      <name val="Arial"/>
    </font>
    <font>
      <sz val="10"/>
      <color rgb="FF1B1C1D"/>
      <name val="Arial"/>
    </font>
    <font>
      <sz val="11"/>
      <color rgb="FF000000"/>
      <name val="Inconsolata"/>
    </font>
    <font>
      <sz val="2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E2EFD9"/>
        <bgColor rgb="FFE2EFD9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3" borderId="13" xfId="0" quotePrefix="1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/>
    <xf numFmtId="0" fontId="1" fillId="3" borderId="13" xfId="0" applyFont="1" applyFill="1" applyBorder="1"/>
    <xf numFmtId="0" fontId="1" fillId="3" borderId="16" xfId="0" applyFont="1" applyFill="1" applyBorder="1"/>
    <xf numFmtId="0" fontId="1" fillId="0" borderId="0" xfId="0" applyFont="1"/>
    <xf numFmtId="0" fontId="4" fillId="4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6" borderId="1" xfId="0" applyFont="1" applyFill="1" applyBorder="1"/>
    <xf numFmtId="0" fontId="1" fillId="2" borderId="1" xfId="0" applyFont="1" applyFill="1" applyBorder="1" applyAlignment="1">
      <alignment horizontal="center"/>
    </xf>
    <xf numFmtId="0" fontId="6" fillId="6" borderId="1" xfId="0" applyFont="1" applyFill="1" applyBorder="1"/>
    <xf numFmtId="0" fontId="1" fillId="2" borderId="14" xfId="0" applyFont="1" applyFill="1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/>
    <xf numFmtId="0" fontId="2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0" fillId="0" borderId="0" xfId="0"/>
    <xf numFmtId="0" fontId="1" fillId="2" borderId="7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1" fillId="2" borderId="17" xfId="0" applyFont="1" applyFill="1" applyBorder="1" applyAlignment="1">
      <alignment vertical="center"/>
    </xf>
    <xf numFmtId="0" fontId="3" fillId="0" borderId="20" xfId="0" applyFont="1" applyBorder="1"/>
    <xf numFmtId="164" fontId="7" fillId="2" borderId="16" xfId="0" applyNumberFormat="1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9" fontId="7" fillId="2" borderId="1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1" fillId="2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Control!$C$6:$C$10</c:f>
              <c:strCache>
                <c:ptCount val="5"/>
                <c:pt idx="0">
                  <c:v>OK</c:v>
                </c:pt>
                <c:pt idx="1">
                  <c:v>NOK</c:v>
                </c:pt>
                <c:pt idx="2">
                  <c:v>No ejecutado</c:v>
                </c:pt>
                <c:pt idx="3">
                  <c:v>Bloqueado</c:v>
                </c:pt>
                <c:pt idx="4">
                  <c:v>Obsoleto</c:v>
                </c:pt>
              </c:strCache>
            </c:strRef>
          </c:cat>
          <c:val>
            <c:numRef>
              <c:f>Control!$D$6:$D$10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241-40E0-9D0A-904B59510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2204123"/>
        <c:axId val="1418709680"/>
      </c:barChart>
      <c:catAx>
        <c:axId val="18522041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418709680"/>
        <c:crosses val="autoZero"/>
        <c:auto val="1"/>
        <c:lblAlgn val="ctr"/>
        <c:lblOffset val="100"/>
        <c:noMultiLvlLbl val="1"/>
      </c:catAx>
      <c:valAx>
        <c:axId val="14187096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852204123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057-454C-8056-B4B7A7D74EF4}"/>
              </c:ext>
            </c:extLst>
          </c:dPt>
          <c:dPt>
            <c:idx val="1"/>
            <c:invertIfNegative val="1"/>
            <c:bubble3D val="0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057-454C-8056-B4B7A7D74EF4}"/>
              </c:ext>
            </c:extLst>
          </c:dPt>
          <c:dPt>
            <c:idx val="2"/>
            <c:invertIfNegative val="1"/>
            <c:bubble3D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057-454C-8056-B4B7A7D74EF4}"/>
              </c:ext>
            </c:extLst>
          </c:dPt>
          <c:dPt>
            <c:idx val="3"/>
            <c:invertIfNegative val="1"/>
            <c:bubble3D val="0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C057-454C-8056-B4B7A7D74EF4}"/>
              </c:ext>
            </c:extLst>
          </c:dPt>
          <c:cat>
            <c:strRef>
              <c:f>Control!$E$36</c:f>
              <c:strCache>
                <c:ptCount val="1"/>
                <c:pt idx="0">
                  <c:v>Analista de pruebas</c:v>
                </c:pt>
              </c:strCache>
            </c:strRef>
          </c:cat>
          <c:val>
            <c:numRef>
              <c:f>Control!$F$36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C057-454C-8056-B4B7A7D74EF4}"/>
            </c:ext>
          </c:extLst>
        </c:ser>
        <c:ser>
          <c:idx val="1"/>
          <c:order val="1"/>
          <c:invertIfNegative val="1"/>
          <c:cat>
            <c:strRef>
              <c:f>Control!$E$36</c:f>
              <c:strCache>
                <c:ptCount val="1"/>
                <c:pt idx="0">
                  <c:v>Analista de pruebas</c:v>
                </c:pt>
              </c:strCache>
            </c:strRef>
          </c:cat>
          <c:val>
            <c:numRef>
              <c:f>Control!$G$36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57-454C-8056-B4B7A7D74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6000000"/>
        <c:axId val="1734408070"/>
      </c:barChart>
      <c:catAx>
        <c:axId val="556000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734408070"/>
        <c:crosses val="autoZero"/>
        <c:auto val="1"/>
        <c:lblAlgn val="ctr"/>
        <c:lblOffset val="100"/>
        <c:noMultiLvlLbl val="1"/>
      </c:catAx>
      <c:valAx>
        <c:axId val="17344080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55600000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266700</xdr:colOff>
      <xdr:row>3</xdr:row>
      <xdr:rowOff>28575</xdr:rowOff>
    </xdr:from>
    <xdr:ext cx="4314825" cy="2714625"/>
    <xdr:graphicFrame macro="">
      <xdr:nvGraphicFramePr>
        <xdr:cNvPr id="1216758283" name="Chart 1" title="Gráfico">
          <a:extLst>
            <a:ext uri="{FF2B5EF4-FFF2-40B4-BE49-F238E27FC236}">
              <a16:creationId xmlns:a16="http://schemas.microsoft.com/office/drawing/2014/main" id="{00000000-0008-0000-0200-00000B428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762000</xdr:colOff>
      <xdr:row>19</xdr:row>
      <xdr:rowOff>171450</xdr:rowOff>
    </xdr:from>
    <xdr:ext cx="4429125" cy="2571750"/>
    <xdr:graphicFrame macro="">
      <xdr:nvGraphicFramePr>
        <xdr:cNvPr id="1522652801" name="Chart 2" title="Gráfico">
          <a:extLst>
            <a:ext uri="{FF2B5EF4-FFF2-40B4-BE49-F238E27FC236}">
              <a16:creationId xmlns:a16="http://schemas.microsoft.com/office/drawing/2014/main" id="{00000000-0008-0000-0200-000081D6C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5"/>
  <sheetViews>
    <sheetView workbookViewId="0"/>
  </sheetViews>
  <sheetFormatPr baseColWidth="10" defaultColWidth="14.42578125" defaultRowHeight="15" customHeight="1" x14ac:dyDescent="0.25"/>
  <cols>
    <col min="1" max="1" width="2.140625" customWidth="1"/>
    <col min="2" max="3" width="3.28515625" customWidth="1"/>
    <col min="4" max="4" width="9.42578125" customWidth="1"/>
    <col min="5" max="5" width="44.42578125" customWidth="1"/>
    <col min="6" max="10" width="9.42578125" customWidth="1"/>
    <col min="11" max="12" width="3.28515625" customWidth="1"/>
    <col min="13" max="25" width="10.7109375" customWidth="1"/>
  </cols>
  <sheetData>
    <row r="1" spans="1:25" x14ac:dyDescent="0.25">
      <c r="A1" s="1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/>
      <c r="B3" s="5"/>
      <c r="C3" s="2"/>
      <c r="D3" s="3"/>
      <c r="E3" s="3"/>
      <c r="F3" s="3"/>
      <c r="G3" s="3"/>
      <c r="H3" s="3"/>
      <c r="I3" s="3"/>
      <c r="J3" s="3"/>
      <c r="K3" s="4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/>
      <c r="B4" s="5"/>
      <c r="C4" s="5"/>
      <c r="D4" s="1"/>
      <c r="E4" s="1"/>
      <c r="F4" s="1"/>
      <c r="G4" s="1"/>
      <c r="H4" s="1"/>
      <c r="I4" s="1"/>
      <c r="J4" s="1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/>
      <c r="B5" s="5"/>
      <c r="C5" s="5"/>
      <c r="D5" s="1"/>
      <c r="E5" s="1"/>
      <c r="F5" s="1"/>
      <c r="G5" s="1"/>
      <c r="H5" s="1"/>
      <c r="I5" s="1"/>
      <c r="J5" s="1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/>
      <c r="B6" s="5"/>
      <c r="C6" s="5"/>
      <c r="D6" s="1"/>
      <c r="E6" s="30" t="s">
        <v>0</v>
      </c>
      <c r="F6" s="31"/>
      <c r="G6" s="31"/>
      <c r="H6" s="31"/>
      <c r="I6" s="31"/>
      <c r="J6" s="1"/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/>
      <c r="B7" s="5"/>
      <c r="C7" s="5"/>
      <c r="D7" s="1"/>
      <c r="E7" s="32"/>
      <c r="F7" s="33"/>
      <c r="G7" s="33"/>
      <c r="H7" s="33"/>
      <c r="I7" s="33"/>
      <c r="J7" s="1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/>
      <c r="B8" s="5"/>
      <c r="C8" s="5"/>
      <c r="D8" s="1"/>
      <c r="E8" s="32"/>
      <c r="F8" s="33"/>
      <c r="G8" s="33"/>
      <c r="H8" s="33"/>
      <c r="I8" s="33"/>
      <c r="J8" s="1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/>
      <c r="B9" s="5"/>
      <c r="C9" s="5"/>
      <c r="D9" s="1"/>
      <c r="E9" s="32"/>
      <c r="F9" s="33"/>
      <c r="G9" s="33"/>
      <c r="H9" s="33"/>
      <c r="I9" s="33"/>
      <c r="J9" s="1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/>
      <c r="B10" s="5"/>
      <c r="C10" s="5"/>
      <c r="D10" s="1"/>
      <c r="E10" s="32"/>
      <c r="F10" s="33"/>
      <c r="G10" s="33"/>
      <c r="H10" s="33"/>
      <c r="I10" s="33"/>
      <c r="J10" s="1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/>
      <c r="B11" s="5"/>
      <c r="C11" s="5"/>
      <c r="D11" s="1"/>
      <c r="E11" s="1"/>
      <c r="F11" s="1"/>
      <c r="G11" s="1"/>
      <c r="H11" s="1"/>
      <c r="I11" s="1"/>
      <c r="J11" s="1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/>
      <c r="B12" s="5"/>
      <c r="C12" s="5"/>
      <c r="D12" s="1"/>
      <c r="E12" s="1"/>
      <c r="F12" s="1"/>
      <c r="G12" s="1"/>
      <c r="H12" s="1"/>
      <c r="I12" s="1"/>
      <c r="J12" s="1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/>
      <c r="B13" s="5"/>
      <c r="C13" s="5"/>
      <c r="D13" s="1"/>
      <c r="E13" s="1"/>
      <c r="F13" s="1"/>
      <c r="G13" s="1"/>
      <c r="H13" s="1"/>
      <c r="I13" s="1"/>
      <c r="J13" s="1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1"/>
      <c r="B14" s="5"/>
      <c r="C14" s="5"/>
      <c r="D14" s="1"/>
      <c r="E14" s="1"/>
      <c r="F14" s="1"/>
      <c r="G14" s="1"/>
      <c r="H14" s="1"/>
      <c r="I14" s="1"/>
      <c r="J14" s="1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/>
      <c r="B15" s="5"/>
      <c r="C15" s="5"/>
      <c r="D15" s="1"/>
      <c r="E15" s="1"/>
      <c r="F15" s="1"/>
      <c r="G15" s="1"/>
      <c r="H15" s="1"/>
      <c r="I15" s="1"/>
      <c r="J15" s="1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1"/>
      <c r="B16" s="5"/>
      <c r="C16" s="5"/>
      <c r="D16" s="1"/>
      <c r="E16" s="1"/>
      <c r="F16" s="1"/>
      <c r="G16" s="1"/>
      <c r="H16" s="1"/>
      <c r="I16" s="1"/>
      <c r="J16" s="1"/>
      <c r="K16" s="6"/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1"/>
      <c r="B17" s="5"/>
      <c r="C17" s="5"/>
      <c r="D17" s="1"/>
      <c r="E17" s="1"/>
      <c r="F17" s="1"/>
      <c r="G17" s="1"/>
      <c r="H17" s="1"/>
      <c r="I17" s="1"/>
      <c r="J17" s="1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1"/>
      <c r="B18" s="5"/>
      <c r="C18" s="5"/>
      <c r="D18" s="1"/>
      <c r="E18" s="1"/>
      <c r="F18" s="1"/>
      <c r="G18" s="1"/>
      <c r="H18" s="1"/>
      <c r="I18" s="1"/>
      <c r="J18" s="1"/>
      <c r="K18" s="6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1"/>
      <c r="B19" s="5"/>
      <c r="C19" s="5"/>
      <c r="D19" s="1"/>
      <c r="E19" s="1"/>
      <c r="F19" s="1"/>
      <c r="G19" s="1"/>
      <c r="H19" s="1"/>
      <c r="I19" s="1"/>
      <c r="J19" s="1"/>
      <c r="K19" s="6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1"/>
      <c r="B20" s="5"/>
      <c r="C20" s="5"/>
      <c r="D20" s="1"/>
      <c r="E20" s="1"/>
      <c r="F20" s="1"/>
      <c r="G20" s="1"/>
      <c r="H20" s="1"/>
      <c r="I20" s="1"/>
      <c r="J20" s="1"/>
      <c r="K20" s="6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A21" s="1"/>
      <c r="B21" s="5"/>
      <c r="C21" s="5"/>
      <c r="D21" s="1"/>
      <c r="E21" s="1"/>
      <c r="F21" s="1"/>
      <c r="G21" s="1"/>
      <c r="H21" s="1"/>
      <c r="I21" s="1"/>
      <c r="J21" s="1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A22" s="1"/>
      <c r="B22" s="5"/>
      <c r="C22" s="5"/>
      <c r="D22" s="1"/>
      <c r="E22" s="1"/>
      <c r="F22" s="1"/>
      <c r="G22" s="1"/>
      <c r="H22" s="1"/>
      <c r="I22" s="1"/>
      <c r="J22" s="1"/>
      <c r="K22" s="6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1"/>
      <c r="B23" s="5"/>
      <c r="C23" s="5"/>
      <c r="D23" s="1"/>
      <c r="E23" s="1"/>
      <c r="F23" s="1"/>
      <c r="G23" s="1"/>
      <c r="H23" s="1"/>
      <c r="I23" s="1"/>
      <c r="J23" s="1"/>
      <c r="K23" s="6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5">
      <c r="A24" s="1"/>
      <c r="B24" s="5"/>
      <c r="C24" s="5"/>
      <c r="D24" s="1"/>
      <c r="E24" s="1"/>
      <c r="F24" s="1"/>
      <c r="G24" s="1"/>
      <c r="H24" s="1"/>
      <c r="I24" s="1"/>
      <c r="J24" s="1"/>
      <c r="K24" s="6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5">
      <c r="A25" s="1"/>
      <c r="B25" s="5"/>
      <c r="C25" s="5"/>
      <c r="D25" s="1"/>
      <c r="E25" s="1"/>
      <c r="F25" s="1"/>
      <c r="G25" s="1"/>
      <c r="H25" s="1"/>
      <c r="I25" s="1"/>
      <c r="J25" s="1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A26" s="1"/>
      <c r="B26" s="5"/>
      <c r="C26" s="5"/>
      <c r="D26" s="1"/>
      <c r="E26" s="1"/>
      <c r="F26" s="1"/>
      <c r="G26" s="1"/>
      <c r="H26" s="1"/>
      <c r="I26" s="1"/>
      <c r="J26" s="1"/>
      <c r="K26" s="6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5">
      <c r="A27" s="1"/>
      <c r="B27" s="5"/>
      <c r="C27" s="5"/>
      <c r="D27" s="1"/>
      <c r="E27" s="1"/>
      <c r="F27" s="1"/>
      <c r="G27" s="1"/>
      <c r="H27" s="1"/>
      <c r="I27" s="1"/>
      <c r="J27" s="1"/>
      <c r="K27" s="6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5">
      <c r="A28" s="1"/>
      <c r="B28" s="5"/>
      <c r="C28" s="5"/>
      <c r="D28" s="1"/>
      <c r="E28" s="1"/>
      <c r="F28" s="1"/>
      <c r="G28" s="1"/>
      <c r="H28" s="1"/>
      <c r="I28" s="1"/>
      <c r="J28" s="1"/>
      <c r="K28" s="6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5">
      <c r="A29" s="1"/>
      <c r="B29" s="5"/>
      <c r="C29" s="5"/>
      <c r="D29" s="1"/>
      <c r="E29" s="1"/>
      <c r="F29" s="1"/>
      <c r="G29" s="1"/>
      <c r="H29" s="1"/>
      <c r="I29" s="1"/>
      <c r="J29" s="1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5">
      <c r="A30" s="1"/>
      <c r="B30" s="5"/>
      <c r="C30" s="5"/>
      <c r="D30" s="1"/>
      <c r="E30" s="1"/>
      <c r="F30" s="1"/>
      <c r="G30" s="1"/>
      <c r="H30" s="1"/>
      <c r="I30" s="1"/>
      <c r="J30" s="1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5">
      <c r="A31" s="1"/>
      <c r="B31" s="5"/>
      <c r="C31" s="5"/>
      <c r="D31" s="1"/>
      <c r="E31" s="1"/>
      <c r="F31" s="1"/>
      <c r="G31" s="1"/>
      <c r="H31" s="1"/>
      <c r="I31" s="1"/>
      <c r="J31" s="1"/>
      <c r="K31" s="6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5">
      <c r="A32" s="1"/>
      <c r="B32" s="5"/>
      <c r="C32" s="5"/>
      <c r="D32" s="1"/>
      <c r="E32" s="1"/>
      <c r="F32" s="1"/>
      <c r="G32" s="1"/>
      <c r="H32" s="1"/>
      <c r="I32" s="1"/>
      <c r="J32" s="1"/>
      <c r="K32" s="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5">
      <c r="A33" s="1"/>
      <c r="B33" s="5"/>
      <c r="C33" s="5"/>
      <c r="D33" s="1"/>
      <c r="E33" s="1"/>
      <c r="F33" s="1"/>
      <c r="G33" s="1"/>
      <c r="H33" s="1"/>
      <c r="I33" s="1"/>
      <c r="J33" s="1"/>
      <c r="K33" s="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5">
      <c r="A34" s="1"/>
      <c r="B34" s="5"/>
      <c r="C34" s="5"/>
      <c r="D34" s="1"/>
      <c r="E34" s="1"/>
      <c r="F34" s="1"/>
      <c r="G34" s="1"/>
      <c r="H34" s="1"/>
      <c r="I34" s="1"/>
      <c r="J34" s="1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5">
      <c r="A35" s="1"/>
      <c r="B35" s="5"/>
      <c r="C35" s="5"/>
      <c r="D35" s="1"/>
      <c r="E35" s="34" t="s">
        <v>1</v>
      </c>
      <c r="F35" s="31"/>
      <c r="G35" s="31"/>
      <c r="H35" s="31"/>
      <c r="I35" s="31"/>
      <c r="J35" s="1"/>
      <c r="K35" s="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/>
      <c r="B36" s="5"/>
      <c r="C36" s="5"/>
      <c r="D36" s="1"/>
      <c r="E36" s="32"/>
      <c r="F36" s="33"/>
      <c r="G36" s="33"/>
      <c r="H36" s="33"/>
      <c r="I36" s="33"/>
      <c r="J36" s="1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/>
      <c r="B37" s="5"/>
      <c r="C37" s="5"/>
      <c r="D37" s="1"/>
      <c r="E37" s="32"/>
      <c r="F37" s="33"/>
      <c r="G37" s="33"/>
      <c r="H37" s="33"/>
      <c r="I37" s="33"/>
      <c r="J37" s="1"/>
      <c r="K37" s="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/>
      <c r="B38" s="5"/>
      <c r="C38" s="5"/>
      <c r="D38" s="1"/>
      <c r="E38" s="32"/>
      <c r="F38" s="33"/>
      <c r="G38" s="33"/>
      <c r="H38" s="33"/>
      <c r="I38" s="33"/>
      <c r="J38" s="1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/>
      <c r="B39" s="5"/>
      <c r="C39" s="5"/>
      <c r="D39" s="1"/>
      <c r="E39" s="32"/>
      <c r="F39" s="33"/>
      <c r="G39" s="33"/>
      <c r="H39" s="33"/>
      <c r="I39" s="33"/>
      <c r="J39" s="1"/>
      <c r="K39" s="6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/>
      <c r="B40" s="5"/>
      <c r="C40" s="5"/>
      <c r="D40" s="1"/>
      <c r="E40" s="1"/>
      <c r="F40" s="1"/>
      <c r="G40" s="1"/>
      <c r="H40" s="1"/>
      <c r="I40" s="1"/>
      <c r="J40" s="1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/>
      <c r="B41" s="5"/>
      <c r="C41" s="5"/>
      <c r="D41" s="1"/>
      <c r="E41" s="1"/>
      <c r="F41" s="1"/>
      <c r="G41" s="1"/>
      <c r="H41" s="1"/>
      <c r="I41" s="1"/>
      <c r="J41" s="1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/>
      <c r="B42" s="5"/>
      <c r="C42" s="5"/>
      <c r="D42" s="1"/>
      <c r="E42" s="1"/>
      <c r="F42" s="1"/>
      <c r="G42" s="1"/>
      <c r="H42" s="1"/>
      <c r="I42" s="1"/>
      <c r="J42" s="1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5"/>
      <c r="C43" s="7"/>
      <c r="D43" s="8"/>
      <c r="E43" s="8"/>
      <c r="F43" s="8"/>
      <c r="G43" s="8"/>
      <c r="H43" s="8"/>
      <c r="I43" s="8"/>
      <c r="J43" s="8"/>
      <c r="K43" s="9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7"/>
      <c r="C44" s="8"/>
      <c r="D44" s="8"/>
      <c r="E44" s="8"/>
      <c r="F44" s="8"/>
      <c r="G44" s="8"/>
      <c r="H44" s="8"/>
      <c r="I44" s="8"/>
      <c r="J44" s="8"/>
      <c r="K44" s="8"/>
      <c r="L44" s="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</sheetData>
  <mergeCells count="2">
    <mergeCell ref="E6:I10"/>
    <mergeCell ref="E35:I3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"/>
  <sheetViews>
    <sheetView tabSelected="1" topLeftCell="A6" workbookViewId="0">
      <selection activeCell="C13" sqref="C13"/>
    </sheetView>
  </sheetViews>
  <sheetFormatPr baseColWidth="10" defaultColWidth="14.42578125" defaultRowHeight="15" customHeight="1" x14ac:dyDescent="0.25"/>
  <cols>
    <col min="1" max="1" width="7.85546875" customWidth="1"/>
    <col min="2" max="2" width="25.140625" customWidth="1"/>
    <col min="3" max="3" width="12.28515625" customWidth="1"/>
    <col min="4" max="4" width="84.85546875" customWidth="1"/>
    <col min="5" max="5" width="57.85546875" customWidth="1"/>
    <col min="6" max="6" width="26.85546875" customWidth="1"/>
    <col min="7" max="7" width="9.5703125" customWidth="1"/>
    <col min="8" max="8" width="22" customWidth="1"/>
    <col min="9" max="9" width="11.7109375" customWidth="1"/>
    <col min="10" max="10" width="20.42578125" customWidth="1"/>
    <col min="11" max="11" width="11.85546875" customWidth="1"/>
  </cols>
  <sheetData>
    <row r="1" spans="1:26" x14ac:dyDescent="0.25">
      <c r="A1" s="10" t="s">
        <v>2</v>
      </c>
      <c r="B1" s="11" t="s">
        <v>3</v>
      </c>
      <c r="C1" s="11" t="s">
        <v>4</v>
      </c>
      <c r="D1" s="12" t="s">
        <v>5</v>
      </c>
      <c r="E1" s="11" t="s">
        <v>6</v>
      </c>
      <c r="F1" s="13" t="s">
        <v>7</v>
      </c>
      <c r="G1" s="14" t="s">
        <v>8</v>
      </c>
      <c r="H1" s="13" t="s">
        <v>9</v>
      </c>
      <c r="I1" s="13" t="s">
        <v>10</v>
      </c>
      <c r="J1" s="15" t="s">
        <v>11</v>
      </c>
      <c r="K1" s="13" t="s">
        <v>12</v>
      </c>
      <c r="L1" s="16"/>
    </row>
    <row r="2" spans="1:26" x14ac:dyDescent="0.25">
      <c r="A2" s="17" t="s">
        <v>13</v>
      </c>
      <c r="B2" s="18" t="s">
        <v>14</v>
      </c>
      <c r="C2" s="19" t="s">
        <v>15</v>
      </c>
      <c r="D2" s="20" t="s">
        <v>16</v>
      </c>
      <c r="E2" s="18"/>
      <c r="F2" s="18" t="s">
        <v>17</v>
      </c>
      <c r="G2" s="18"/>
      <c r="H2" s="18" t="s">
        <v>18</v>
      </c>
      <c r="I2" s="18" t="s">
        <v>19</v>
      </c>
      <c r="J2" s="18" t="s">
        <v>20</v>
      </c>
      <c r="K2" s="21" t="s">
        <v>21</v>
      </c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x14ac:dyDescent="0.25">
      <c r="A3" s="17" t="s">
        <v>22</v>
      </c>
      <c r="B3" s="18" t="s">
        <v>23</v>
      </c>
      <c r="C3" s="19" t="s">
        <v>15</v>
      </c>
      <c r="D3" s="18" t="s">
        <v>24</v>
      </c>
      <c r="E3" s="18"/>
      <c r="F3" s="18" t="s">
        <v>25</v>
      </c>
      <c r="G3" s="18"/>
      <c r="H3" s="18" t="s">
        <v>26</v>
      </c>
      <c r="I3" s="18" t="s">
        <v>19</v>
      </c>
      <c r="J3" s="18" t="s">
        <v>20</v>
      </c>
      <c r="K3" s="21" t="s">
        <v>21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x14ac:dyDescent="0.25">
      <c r="A4" s="17" t="s">
        <v>27</v>
      </c>
      <c r="B4" s="18" t="s">
        <v>28</v>
      </c>
      <c r="C4" s="19" t="s">
        <v>15</v>
      </c>
      <c r="D4" s="18" t="s">
        <v>29</v>
      </c>
      <c r="E4" s="18"/>
      <c r="F4" s="18" t="s">
        <v>17</v>
      </c>
      <c r="G4" s="18"/>
      <c r="H4" s="18" t="s">
        <v>18</v>
      </c>
      <c r="I4" s="18" t="s">
        <v>19</v>
      </c>
      <c r="J4" s="18" t="s">
        <v>20</v>
      </c>
      <c r="K4" s="21" t="s">
        <v>30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x14ac:dyDescent="0.25">
      <c r="A5" s="17" t="s">
        <v>31</v>
      </c>
      <c r="B5" s="18" t="s">
        <v>32</v>
      </c>
      <c r="C5" s="19" t="s">
        <v>15</v>
      </c>
      <c r="D5" s="18" t="s">
        <v>33</v>
      </c>
      <c r="E5" s="18"/>
      <c r="F5" s="21" t="s">
        <v>25</v>
      </c>
      <c r="G5" s="18"/>
      <c r="H5" s="21" t="s">
        <v>18</v>
      </c>
      <c r="I5" s="18" t="s">
        <v>19</v>
      </c>
      <c r="J5" s="18" t="s">
        <v>20</v>
      </c>
      <c r="K5" s="21" t="s">
        <v>21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x14ac:dyDescent="0.25">
      <c r="A6" s="17" t="s">
        <v>34</v>
      </c>
      <c r="B6" s="18" t="s">
        <v>35</v>
      </c>
      <c r="C6" s="19" t="s">
        <v>15</v>
      </c>
      <c r="D6" s="18" t="s">
        <v>36</v>
      </c>
      <c r="E6" s="18"/>
      <c r="F6" s="21" t="s">
        <v>37</v>
      </c>
      <c r="G6" s="18"/>
      <c r="H6" s="21" t="s">
        <v>18</v>
      </c>
      <c r="I6" s="18" t="s">
        <v>19</v>
      </c>
      <c r="J6" s="18" t="s">
        <v>20</v>
      </c>
      <c r="K6" s="21" t="s">
        <v>21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x14ac:dyDescent="0.25">
      <c r="A7" s="17" t="s">
        <v>38</v>
      </c>
      <c r="B7" s="18" t="s">
        <v>114</v>
      </c>
      <c r="C7" s="19" t="s">
        <v>15</v>
      </c>
      <c r="D7" s="18" t="s">
        <v>39</v>
      </c>
      <c r="E7" s="18"/>
      <c r="F7" s="21" t="s">
        <v>40</v>
      </c>
      <c r="G7" s="18"/>
      <c r="H7" s="21" t="s">
        <v>18</v>
      </c>
      <c r="I7" s="18" t="s">
        <v>19</v>
      </c>
      <c r="J7" s="18" t="s">
        <v>20</v>
      </c>
      <c r="K7" s="21" t="s">
        <v>30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x14ac:dyDescent="0.25">
      <c r="A8" s="17" t="s">
        <v>41</v>
      </c>
      <c r="B8" s="20" t="s">
        <v>42</v>
      </c>
      <c r="C8" s="19" t="s">
        <v>15</v>
      </c>
      <c r="D8" s="18" t="s">
        <v>43</v>
      </c>
      <c r="E8" s="18"/>
      <c r="F8" s="21" t="s">
        <v>40</v>
      </c>
      <c r="G8" s="18"/>
      <c r="H8" s="21" t="s">
        <v>26</v>
      </c>
      <c r="I8" s="18" t="s">
        <v>19</v>
      </c>
      <c r="J8" s="18" t="s">
        <v>20</v>
      </c>
      <c r="K8" s="21" t="s">
        <v>21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x14ac:dyDescent="0.25">
      <c r="A9" s="17" t="s">
        <v>44</v>
      </c>
      <c r="B9" s="18" t="s">
        <v>115</v>
      </c>
      <c r="C9" s="19" t="s">
        <v>15</v>
      </c>
      <c r="D9" s="18" t="s">
        <v>45</v>
      </c>
      <c r="E9" s="18"/>
      <c r="F9" s="21" t="s">
        <v>46</v>
      </c>
      <c r="G9" s="18"/>
      <c r="H9" s="21" t="s">
        <v>18</v>
      </c>
      <c r="I9" s="18" t="s">
        <v>19</v>
      </c>
      <c r="J9" s="18" t="s">
        <v>20</v>
      </c>
      <c r="K9" s="21" t="s">
        <v>21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x14ac:dyDescent="0.25">
      <c r="A10" s="17" t="s">
        <v>47</v>
      </c>
      <c r="B10" s="18" t="s">
        <v>48</v>
      </c>
      <c r="C10" s="19" t="s">
        <v>15</v>
      </c>
      <c r="D10" s="18" t="s">
        <v>49</v>
      </c>
      <c r="E10" s="18"/>
      <c r="F10" s="21" t="s">
        <v>50</v>
      </c>
      <c r="G10" s="18"/>
      <c r="H10" s="21" t="s">
        <v>18</v>
      </c>
      <c r="I10" s="18" t="s">
        <v>19</v>
      </c>
      <c r="J10" s="18" t="s">
        <v>20</v>
      </c>
      <c r="K10" s="21" t="s">
        <v>30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x14ac:dyDescent="0.25">
      <c r="A11" s="17" t="s">
        <v>51</v>
      </c>
      <c r="B11" s="18" t="s">
        <v>52</v>
      </c>
      <c r="C11" s="19" t="s">
        <v>15</v>
      </c>
      <c r="D11" s="18" t="s">
        <v>53</v>
      </c>
      <c r="E11" s="18"/>
      <c r="F11" s="21" t="s">
        <v>50</v>
      </c>
      <c r="G11" s="18"/>
      <c r="H11" s="21" t="s">
        <v>18</v>
      </c>
      <c r="I11" s="18" t="s">
        <v>19</v>
      </c>
      <c r="J11" s="18" t="s">
        <v>20</v>
      </c>
      <c r="K11" s="21" t="s">
        <v>21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x14ac:dyDescent="0.25">
      <c r="A12" s="17" t="s">
        <v>54</v>
      </c>
      <c r="B12" s="18" t="s">
        <v>55</v>
      </c>
      <c r="C12" s="19" t="s">
        <v>15</v>
      </c>
      <c r="D12" s="18" t="s">
        <v>56</v>
      </c>
      <c r="E12" s="18"/>
      <c r="F12" s="21" t="s">
        <v>50</v>
      </c>
      <c r="G12" s="18"/>
      <c r="H12" s="21" t="s">
        <v>26</v>
      </c>
      <c r="I12" s="18" t="s">
        <v>19</v>
      </c>
      <c r="J12" s="18" t="s">
        <v>20</v>
      </c>
      <c r="K12" s="21" t="s">
        <v>21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x14ac:dyDescent="0.25">
      <c r="A13" s="17" t="s">
        <v>57</v>
      </c>
      <c r="B13" s="18" t="s">
        <v>58</v>
      </c>
      <c r="C13" s="19" t="s">
        <v>15</v>
      </c>
      <c r="D13" s="18" t="s">
        <v>59</v>
      </c>
      <c r="E13" s="18"/>
      <c r="F13" s="21" t="s">
        <v>60</v>
      </c>
      <c r="G13" s="18"/>
      <c r="H13" s="21" t="s">
        <v>18</v>
      </c>
      <c r="I13" s="18" t="s">
        <v>19</v>
      </c>
      <c r="J13" s="18" t="s">
        <v>20</v>
      </c>
      <c r="K13" s="21" t="s">
        <v>30</v>
      </c>
    </row>
    <row r="14" spans="1:26" x14ac:dyDescent="0.25">
      <c r="A14" s="17" t="s">
        <v>61</v>
      </c>
      <c r="B14" s="18" t="s">
        <v>62</v>
      </c>
      <c r="C14" s="19" t="s">
        <v>15</v>
      </c>
      <c r="D14" s="18" t="s">
        <v>63</v>
      </c>
      <c r="E14" s="18"/>
      <c r="F14" s="21" t="s">
        <v>64</v>
      </c>
      <c r="G14" s="18"/>
      <c r="H14" s="21" t="s">
        <v>18</v>
      </c>
      <c r="I14" s="18" t="s">
        <v>19</v>
      </c>
      <c r="J14" s="18" t="s">
        <v>20</v>
      </c>
      <c r="K14" s="21" t="s">
        <v>30</v>
      </c>
    </row>
    <row r="15" spans="1:26" x14ac:dyDescent="0.25">
      <c r="A15" s="17" t="s">
        <v>65</v>
      </c>
      <c r="B15" s="18" t="s">
        <v>66</v>
      </c>
      <c r="C15" s="19" t="s">
        <v>15</v>
      </c>
      <c r="D15" s="18" t="s">
        <v>67</v>
      </c>
      <c r="E15" s="18"/>
      <c r="F15" s="21" t="s">
        <v>68</v>
      </c>
      <c r="G15" s="18"/>
      <c r="H15" s="21" t="s">
        <v>18</v>
      </c>
      <c r="I15" s="18" t="s">
        <v>19</v>
      </c>
      <c r="J15" s="18" t="s">
        <v>20</v>
      </c>
      <c r="K15" s="21" t="s">
        <v>30</v>
      </c>
    </row>
    <row r="16" spans="1:26" x14ac:dyDescent="0.25">
      <c r="A16" s="17" t="s">
        <v>69</v>
      </c>
      <c r="B16" s="18" t="s">
        <v>70</v>
      </c>
      <c r="C16" s="19" t="s">
        <v>15</v>
      </c>
      <c r="D16" s="18" t="s">
        <v>71</v>
      </c>
      <c r="E16" s="18"/>
      <c r="F16" s="21" t="s">
        <v>72</v>
      </c>
      <c r="G16" s="18"/>
      <c r="H16" s="21" t="s">
        <v>18</v>
      </c>
      <c r="I16" s="18" t="s">
        <v>19</v>
      </c>
      <c r="J16" s="18" t="s">
        <v>20</v>
      </c>
      <c r="K16" s="21" t="s">
        <v>30</v>
      </c>
    </row>
    <row r="17" spans="1:11" x14ac:dyDescent="0.25">
      <c r="A17" s="17" t="s">
        <v>73</v>
      </c>
      <c r="B17" s="18" t="s">
        <v>74</v>
      </c>
      <c r="C17" s="19" t="s">
        <v>15</v>
      </c>
      <c r="D17" s="18" t="s">
        <v>75</v>
      </c>
      <c r="E17" s="18"/>
      <c r="F17" s="21" t="s">
        <v>76</v>
      </c>
      <c r="G17" s="18"/>
      <c r="H17" s="21" t="s">
        <v>18</v>
      </c>
      <c r="I17" s="18" t="s">
        <v>19</v>
      </c>
      <c r="J17" s="18" t="s">
        <v>20</v>
      </c>
      <c r="K17" s="21" t="s">
        <v>77</v>
      </c>
    </row>
    <row r="18" spans="1:11" x14ac:dyDescent="0.25">
      <c r="A18" s="17" t="s">
        <v>78</v>
      </c>
      <c r="B18" s="18" t="s">
        <v>116</v>
      </c>
      <c r="C18" s="19" t="s">
        <v>15</v>
      </c>
      <c r="D18" s="18" t="s">
        <v>79</v>
      </c>
      <c r="E18" s="18"/>
      <c r="F18" s="21" t="s">
        <v>40</v>
      </c>
      <c r="G18" s="18"/>
      <c r="H18" s="21" t="s">
        <v>18</v>
      </c>
      <c r="I18" s="18" t="s">
        <v>19</v>
      </c>
      <c r="J18" s="18" t="s">
        <v>20</v>
      </c>
      <c r="K18" s="21" t="s">
        <v>21</v>
      </c>
    </row>
    <row r="19" spans="1:11" x14ac:dyDescent="0.25">
      <c r="A19" s="17" t="s">
        <v>80</v>
      </c>
      <c r="B19" s="18" t="s">
        <v>81</v>
      </c>
      <c r="C19" s="19" t="s">
        <v>15</v>
      </c>
      <c r="D19" s="18" t="s">
        <v>82</v>
      </c>
      <c r="E19" s="18"/>
      <c r="F19" s="21" t="s">
        <v>83</v>
      </c>
      <c r="G19" s="18"/>
      <c r="H19" s="21" t="s">
        <v>26</v>
      </c>
      <c r="I19" s="18" t="s">
        <v>113</v>
      </c>
      <c r="J19" s="18" t="s">
        <v>20</v>
      </c>
      <c r="K19" s="21" t="s">
        <v>30</v>
      </c>
    </row>
    <row r="20" spans="1:11" x14ac:dyDescent="0.25">
      <c r="A20" s="17" t="s">
        <v>84</v>
      </c>
      <c r="B20" s="18" t="s">
        <v>85</v>
      </c>
      <c r="C20" s="19" t="s">
        <v>15</v>
      </c>
      <c r="D20" s="18" t="s">
        <v>86</v>
      </c>
      <c r="E20" s="18"/>
      <c r="F20" s="21" t="s">
        <v>87</v>
      </c>
      <c r="G20" s="18"/>
      <c r="H20" s="21" t="s">
        <v>26</v>
      </c>
      <c r="I20" s="18" t="s">
        <v>113</v>
      </c>
      <c r="J20" s="18" t="s">
        <v>20</v>
      </c>
      <c r="K20" s="21" t="s">
        <v>30</v>
      </c>
    </row>
    <row r="21" spans="1:11" x14ac:dyDescent="0.25">
      <c r="A21" s="17" t="s">
        <v>88</v>
      </c>
      <c r="B21" s="18" t="s">
        <v>89</v>
      </c>
      <c r="C21" s="19" t="s">
        <v>15</v>
      </c>
      <c r="D21" s="18" t="s">
        <v>90</v>
      </c>
      <c r="E21" s="18"/>
      <c r="F21" s="21" t="s">
        <v>87</v>
      </c>
      <c r="G21" s="18"/>
      <c r="H21" s="21" t="s">
        <v>26</v>
      </c>
      <c r="I21" s="18" t="s">
        <v>113</v>
      </c>
      <c r="J21" s="18" t="s">
        <v>20</v>
      </c>
      <c r="K21" s="21" t="s">
        <v>30</v>
      </c>
    </row>
    <row r="22" spans="1:11" x14ac:dyDescent="0.25">
      <c r="A22" s="17" t="s">
        <v>91</v>
      </c>
      <c r="B22" s="18" t="s">
        <v>92</v>
      </c>
      <c r="C22" s="19" t="s">
        <v>15</v>
      </c>
      <c r="D22" s="18" t="s">
        <v>93</v>
      </c>
      <c r="E22" s="18"/>
      <c r="F22" s="21" t="s">
        <v>17</v>
      </c>
      <c r="G22" s="18"/>
      <c r="H22" s="21" t="s">
        <v>18</v>
      </c>
      <c r="I22" s="18" t="s">
        <v>19</v>
      </c>
      <c r="J22" s="18" t="s">
        <v>20</v>
      </c>
      <c r="K22" s="21" t="s">
        <v>30</v>
      </c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'Datos del plan'!$A$1:$A$8</xm:f>
          </x14:formula1>
          <xm:sqref>C2:C22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7"/>
  <sheetViews>
    <sheetView workbookViewId="0"/>
  </sheetViews>
  <sheetFormatPr baseColWidth="10" defaultColWidth="14.42578125" defaultRowHeight="15" customHeight="1" x14ac:dyDescent="0.25"/>
  <cols>
    <col min="1" max="2" width="11.5703125" customWidth="1"/>
    <col min="3" max="3" width="16.140625" customWidth="1"/>
    <col min="4" max="4" width="11.5703125" customWidth="1"/>
    <col min="5" max="5" width="4.85546875" customWidth="1"/>
    <col min="6" max="6" width="17" customWidth="1"/>
    <col min="7" max="11" width="10.7109375" customWidth="1"/>
    <col min="12" max="12" width="5.42578125" customWidth="1"/>
    <col min="13" max="26" width="10.710937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W1" s="1"/>
    </row>
    <row r="2" spans="1:26" ht="14.25" customHeight="1" x14ac:dyDescent="0.25">
      <c r="A2" s="1"/>
      <c r="B2" s="23"/>
      <c r="C2" s="23"/>
      <c r="D2" s="2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Z2" s="1"/>
    </row>
    <row r="3" spans="1:26" ht="14.25" customHeight="1" x14ac:dyDescent="0.25">
      <c r="A3" s="1"/>
      <c r="B3" s="23"/>
      <c r="C3" s="23"/>
      <c r="D3" s="2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Z3" s="1"/>
    </row>
    <row r="4" spans="1:26" ht="14.25" customHeight="1" x14ac:dyDescent="0.25">
      <c r="A4" s="1"/>
      <c r="B4" s="23"/>
      <c r="C4" s="23"/>
      <c r="D4" s="2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Z4" s="1"/>
    </row>
    <row r="5" spans="1:26" ht="14.2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4"/>
      <c r="Q5" s="1"/>
      <c r="R5" s="1"/>
      <c r="Z5" s="1"/>
    </row>
    <row r="6" spans="1:26" ht="14.25" customHeight="1" x14ac:dyDescent="0.25">
      <c r="A6" s="1"/>
      <c r="B6" s="35" t="s">
        <v>94</v>
      </c>
      <c r="C6" s="25" t="s">
        <v>95</v>
      </c>
      <c r="D6" s="26" t="e">
        <f>COUNTIF('Identificación Casos'!#REF!,Control!C6)</f>
        <v>#REF!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4"/>
      <c r="Q6" s="1"/>
      <c r="R6" s="1"/>
      <c r="Z6" s="1"/>
    </row>
    <row r="7" spans="1:26" ht="14.25" customHeight="1" x14ac:dyDescent="0.25">
      <c r="A7" s="1"/>
      <c r="B7" s="36"/>
      <c r="C7" s="25" t="s">
        <v>96</v>
      </c>
      <c r="D7" s="26" t="e">
        <f>COUNTIF('Identificación Casos'!#REF!,Control!C7)</f>
        <v>#REF!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Z7" s="1"/>
    </row>
    <row r="8" spans="1:26" ht="14.25" customHeight="1" x14ac:dyDescent="0.25">
      <c r="A8" s="1"/>
      <c r="B8" s="36"/>
      <c r="C8" s="25" t="s">
        <v>97</v>
      </c>
      <c r="D8" s="26">
        <f>COUNTIF('Identificación Casos'!$G$2:G14,C8)</f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Z8" s="1"/>
    </row>
    <row r="9" spans="1:26" ht="14.25" customHeight="1" x14ac:dyDescent="0.25">
      <c r="A9" s="1"/>
      <c r="B9" s="36"/>
      <c r="C9" s="25" t="s">
        <v>98</v>
      </c>
      <c r="D9" s="26">
        <f>COUNTIF('Identificación Casos'!$G$2:G15,C9)</f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24"/>
      <c r="P9" s="1"/>
      <c r="Q9" s="1"/>
      <c r="R9" s="1"/>
      <c r="Z9" s="1"/>
    </row>
    <row r="10" spans="1:26" ht="14.25" customHeight="1" x14ac:dyDescent="0.25">
      <c r="A10" s="1"/>
      <c r="B10" s="37"/>
      <c r="C10" s="25" t="s">
        <v>99</v>
      </c>
      <c r="D10" s="26">
        <f>COUNTIF('Identificación Casos'!$G$2:G16,C10)</f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Z10" s="1"/>
    </row>
    <row r="11" spans="1:26" ht="14.25" customHeight="1" x14ac:dyDescent="0.25">
      <c r="A11" s="1"/>
      <c r="B11" s="27"/>
      <c r="C11" s="27"/>
      <c r="D11" s="2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Z11" s="1"/>
    </row>
    <row r="12" spans="1:26" ht="14.25" customHeight="1" x14ac:dyDescent="0.25">
      <c r="A12" s="1"/>
      <c r="B12" s="27"/>
      <c r="C12" s="27"/>
      <c r="D12" s="2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Z12" s="1"/>
    </row>
    <row r="13" spans="1:26" ht="14.25" customHeight="1" x14ac:dyDescent="0.25">
      <c r="A13" s="1"/>
      <c r="B13" s="38" t="s">
        <v>100</v>
      </c>
      <c r="C13" s="39"/>
      <c r="D13" s="26">
        <f>COUNTIF('Identificación Casos'!A2:A22,"*")</f>
        <v>21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Z13" s="1"/>
    </row>
    <row r="14" spans="1:26" ht="14.25" customHeight="1" x14ac:dyDescent="0.25">
      <c r="A14" s="1"/>
      <c r="B14" s="27"/>
      <c r="C14" s="27"/>
      <c r="D14" s="2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Z14" s="1"/>
    </row>
    <row r="15" spans="1:26" ht="14.25" customHeight="1" x14ac:dyDescent="0.25">
      <c r="A15" s="1"/>
      <c r="B15" s="27"/>
      <c r="C15" s="27"/>
      <c r="D15" s="2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Z15" s="1"/>
    </row>
    <row r="16" spans="1:26" ht="14.25" customHeight="1" x14ac:dyDescent="0.25">
      <c r="A16" s="1"/>
      <c r="B16" s="40" t="s">
        <v>101</v>
      </c>
      <c r="C16" s="41"/>
      <c r="D16" s="44" t="e">
        <f>SUM(D6+D7+D9+D10)/D13</f>
        <v>#REF!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Z16" s="1"/>
    </row>
    <row r="17" spans="1:26" ht="14.25" customHeight="1" x14ac:dyDescent="0.25">
      <c r="A17" s="1"/>
      <c r="B17" s="42"/>
      <c r="C17" s="43"/>
      <c r="D17" s="3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45"/>
      <c r="N20" s="31"/>
      <c r="O20" s="1"/>
      <c r="P20" s="1"/>
      <c r="Q20" s="1"/>
      <c r="R20" s="1"/>
      <c r="Z20" s="1"/>
    </row>
    <row r="21" spans="1:26" ht="14.25" customHeight="1" x14ac:dyDescent="0.25">
      <c r="A21" s="1"/>
      <c r="B21" s="24"/>
      <c r="C21" s="1"/>
      <c r="D21" s="1"/>
      <c r="E21" s="1"/>
      <c r="F21" s="1"/>
      <c r="G21" s="1"/>
      <c r="H21" s="1"/>
      <c r="I21" s="1"/>
      <c r="J21" s="1"/>
      <c r="K21" s="1"/>
      <c r="L21" s="1"/>
      <c r="M21" s="32"/>
      <c r="N21" s="33"/>
      <c r="O21" s="1"/>
      <c r="P21" s="1"/>
      <c r="Q21" s="1"/>
      <c r="R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R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R23" s="1"/>
    </row>
    <row r="24" spans="1:26" ht="14.25" customHeight="1" x14ac:dyDescent="0.25">
      <c r="A24" s="1"/>
      <c r="D24" s="1"/>
      <c r="E24" s="1"/>
      <c r="F24" s="1"/>
      <c r="G24" s="1"/>
      <c r="H24" s="1"/>
      <c r="I24" s="1"/>
      <c r="J24" s="1"/>
      <c r="R24" s="1"/>
    </row>
    <row r="25" spans="1:26" ht="14.25" customHeight="1" x14ac:dyDescent="0.25">
      <c r="A25" s="1"/>
      <c r="D25" s="1"/>
      <c r="E25" s="1"/>
      <c r="F25" s="1"/>
      <c r="G25" s="1"/>
      <c r="H25" s="1"/>
      <c r="I25" s="1"/>
      <c r="J25" s="1"/>
      <c r="R25" s="1"/>
    </row>
    <row r="26" spans="1:26" ht="14.25" customHeight="1" x14ac:dyDescent="0.25">
      <c r="A26" s="1"/>
      <c r="D26" s="1"/>
      <c r="E26" s="1"/>
      <c r="F26" s="1"/>
      <c r="G26" s="1"/>
      <c r="H26" s="1"/>
      <c r="I26" s="1"/>
      <c r="J26" s="1"/>
      <c r="R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46" t="s">
        <v>102</v>
      </c>
      <c r="C36" s="47"/>
      <c r="D36" s="39"/>
      <c r="E36" s="48" t="s">
        <v>20</v>
      </c>
      <c r="F36" s="39"/>
      <c r="G36" s="29">
        <f>COUNTIF('Identificación Casos'!J2:J972,E36)</f>
        <v>21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H37" s="16"/>
      <c r="I37" s="16"/>
      <c r="J37" s="16"/>
      <c r="K37" s="1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F38" s="16" t="s">
        <v>103</v>
      </c>
      <c r="G38" s="16">
        <f>SUM(G36)</f>
        <v>21</v>
      </c>
      <c r="H38" s="16"/>
      <c r="I38" s="16"/>
      <c r="J38" s="1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6"/>
      <c r="I39" s="16"/>
      <c r="J39" s="1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7">
    <mergeCell ref="B36:D36"/>
    <mergeCell ref="E36:F36"/>
    <mergeCell ref="B6:B10"/>
    <mergeCell ref="B13:C13"/>
    <mergeCell ref="B16:C17"/>
    <mergeCell ref="D16:D17"/>
    <mergeCell ref="M20:N21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baseColWidth="10" defaultColWidth="14.42578125" defaultRowHeight="15" customHeight="1" x14ac:dyDescent="0.25"/>
  <cols>
    <col min="1" max="1" width="12.28515625" customWidth="1"/>
    <col min="2" max="2" width="12.42578125" customWidth="1"/>
    <col min="3" max="3" width="6.28515625" customWidth="1"/>
    <col min="4" max="6" width="10.7109375" customWidth="1"/>
  </cols>
  <sheetData>
    <row r="1" spans="1:4" ht="14.25" customHeight="1" x14ac:dyDescent="0.25">
      <c r="A1" s="16" t="s">
        <v>15</v>
      </c>
      <c r="B1" s="16" t="s">
        <v>95</v>
      </c>
      <c r="C1" s="16" t="s">
        <v>21</v>
      </c>
      <c r="D1" s="16" t="s">
        <v>104</v>
      </c>
    </row>
    <row r="2" spans="1:4" ht="14.25" customHeight="1" x14ac:dyDescent="0.25">
      <c r="A2" s="16" t="s">
        <v>105</v>
      </c>
      <c r="B2" s="16" t="s">
        <v>96</v>
      </c>
      <c r="C2" s="16" t="s">
        <v>30</v>
      </c>
      <c r="D2" s="16" t="s">
        <v>106</v>
      </c>
    </row>
    <row r="3" spans="1:4" ht="14.25" customHeight="1" x14ac:dyDescent="0.25">
      <c r="A3" s="16" t="s">
        <v>107</v>
      </c>
      <c r="B3" s="16" t="s">
        <v>97</v>
      </c>
      <c r="C3" s="16" t="s">
        <v>77</v>
      </c>
    </row>
    <row r="4" spans="1:4" ht="14.25" customHeight="1" x14ac:dyDescent="0.25">
      <c r="A4" s="16" t="s">
        <v>108</v>
      </c>
      <c r="B4" s="16" t="s">
        <v>98</v>
      </c>
    </row>
    <row r="5" spans="1:4" ht="14.25" customHeight="1" x14ac:dyDescent="0.25">
      <c r="A5" s="16" t="s">
        <v>109</v>
      </c>
      <c r="B5" s="16" t="s">
        <v>99</v>
      </c>
    </row>
    <row r="6" spans="1:4" ht="14.25" customHeight="1" x14ac:dyDescent="0.25">
      <c r="A6" s="16" t="s">
        <v>110</v>
      </c>
    </row>
    <row r="7" spans="1:4" ht="14.25" customHeight="1" x14ac:dyDescent="0.25">
      <c r="A7" s="16" t="s">
        <v>111</v>
      </c>
    </row>
    <row r="8" spans="1:4" ht="14.25" customHeight="1" x14ac:dyDescent="0.25">
      <c r="A8" s="16" t="s">
        <v>112</v>
      </c>
    </row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Identificación Casos</vt:lpstr>
      <vt:lpstr>Control</vt:lpstr>
      <vt:lpstr>Datos del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 Bozo, Jorge</dc:creator>
  <cp:lastModifiedBy>GUISELLE . MONTES ROJAS</cp:lastModifiedBy>
  <dcterms:created xsi:type="dcterms:W3CDTF">2022-11-12T13:19:55Z</dcterms:created>
  <dcterms:modified xsi:type="dcterms:W3CDTF">2025-11-05T02:26:11Z</dcterms:modified>
</cp:coreProperties>
</file>