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Identificación Casos" sheetId="2" r:id="rId5"/>
    <sheet state="visible" name="Control" sheetId="3" r:id="rId6"/>
    <sheet state="hidden" name="Datos del plan" sheetId="4" r:id="rId7"/>
  </sheets>
  <definedNames/>
  <calcPr/>
  <extLst>
    <ext uri="GoogleSheetsCustomDataVersion2">
      <go:sheetsCustomData xmlns:go="http://customooxmlschemas.google.com/" r:id="rId8" roundtripDataChecksum="fkxEDJOU2+BqOJFe2bykjT9/6NyvNKd5sK6Sx5oc17U="/>
    </ext>
  </extLst>
</workbook>
</file>

<file path=xl/sharedStrings.xml><?xml version="1.0" encoding="utf-8"?>
<sst xmlns="http://schemas.openxmlformats.org/spreadsheetml/2006/main" count="141" uniqueCount="87">
  <si>
    <t xml:space="preserve">Plan de prueba </t>
  </si>
  <si>
    <t>Integrantes:
Javier Huaiquicheo, 
Susana Lapeyre, 
Guiselle Montes.</t>
  </si>
  <si>
    <t>ID</t>
  </si>
  <si>
    <t>Nombre de la prueba</t>
  </si>
  <si>
    <t>Tipo</t>
  </si>
  <si>
    <t>Resultado esperado</t>
  </si>
  <si>
    <t>Resultado obtenido</t>
  </si>
  <si>
    <t>Módulo a probar</t>
  </si>
  <si>
    <t>Resultado</t>
  </si>
  <si>
    <t>Candidato a automatizar</t>
  </si>
  <si>
    <t>Observación</t>
  </si>
  <si>
    <t>Responsable ejecución</t>
  </si>
  <si>
    <t>Complejidad</t>
  </si>
  <si>
    <t>CDP_01</t>
  </si>
  <si>
    <t>Validación de entrada en /sesiones/por_canino/</t>
  </si>
  <si>
    <t>Funcional</t>
  </si>
  <si>
    <t>HTTP 400 con mensaje "canino_id inválido" al enviar ID no numérico.</t>
  </si>
  <si>
    <t>HTTP 400 con mensaje "canino_id inválido"</t>
  </si>
  <si>
    <t>Sesiones</t>
  </si>
  <si>
    <t>Pasado</t>
  </si>
  <si>
    <t>Sí</t>
  </si>
  <si>
    <t>Valida robustez del endpoint /por_canino/.</t>
  </si>
  <si>
    <t>Analista de pruebas</t>
  </si>
  <si>
    <t>Baja</t>
  </si>
  <si>
    <t>CDP_02</t>
  </si>
  <si>
    <t>Respuesta ante canino_id inexistente</t>
  </si>
  <si>
    <t>HTTP 200 con cuerpo vacío `[]`.</t>
  </si>
  <si>
    <t>HTTP 200 con cuerpo `[]`</t>
  </si>
  <si>
    <t>Evita errores 500 en frontend al consultar caninos sin sesiones.</t>
  </si>
  <si>
    <t>CDP_03</t>
  </si>
  <si>
    <t>Consulta exitosa de sesiones por canino_id válido</t>
  </si>
  <si>
    <t>HTTP 200 con lista de sesiones, campos planos (sin objeto `canino` anidado), y datos correctos (ej. `entrenador.nombre_completo`).</t>
  </si>
  <si>
    <t>HTTP 200 con estructura plana y datos consistentes</t>
  </si>
  <si>
    <t>Confirma diseño intencional de bajo peso y alto rendimiento.</t>
  </si>
  <si>
    <t>Media</t>
  </si>
  <si>
    <t>CDP_04</t>
  </si>
  <si>
    <t>Reasignación de canino sin alterar sesiones pasadas</t>
  </si>
  <si>
    <t>Sesiones antiguas permanecen con entrenador original; solo sesiones nuevas usan el nuevo entrenador.</t>
  </si>
  <si>
    <t>Comportamiento validado: sesiones históricas no se modifican, nuevas sí.</t>
  </si>
  <si>
    <t>Caninos</t>
  </si>
  <si>
    <t>Garantiza integridad histórica del entrenamiento (requisito funcional explícito).</t>
  </si>
  <si>
    <t>CDP_05</t>
  </si>
  <si>
    <t>/mias/ ignora parámetros externos y usa solo usuario autenticado</t>
  </si>
  <si>
    <t>El endpoint `/sesiones/mias/` devuelve solo sesiones del entrenador logueado, sin importar `?entrenador_id=` en la URL.</t>
  </si>
  <si>
    <t>HTTP 200 con solo sesiones propias, sin importar query params.</t>
  </si>
  <si>
    <t>Evita bypass de permisos por manipulación de URL.</t>
  </si>
  <si>
    <t>CDP_06</t>
  </si>
  <si>
    <t>Creación de sesión sin video no falla</t>
  </si>
  <si>
    <t>La sesión se crea con `video_url = null`, sin error 500.</t>
  </si>
  <si>
    <t>HTTP 201 con `"video_url": null`</t>
  </si>
  <si>
    <t>Evita fallos silenciosos en frontend al no subir video.</t>
  </si>
  <si>
    <t>CDP_07</t>
  </si>
  <si>
    <t>Endpoint /caninos/{id}/foto/ sirve imagen en bruto</t>
  </si>
  <si>
    <t>Respuesta con `Content-Type: image/jpeg`, sin JSON ni cookies, y headers CORS/Cache correctos.</t>
  </si>
  <si>
    <t>Headers: `Content-Type: image/jpeg`, `Cache-Control: public, max-age=604800`, `Access-Control-Allow-Origin: http://localhost:3000`</t>
  </si>
  <si>
    <t>Garantiza eficiencia y seguridad en entrega de imágenes.</t>
  </si>
  <si>
    <t>CDP_08</t>
  </si>
  <si>
    <t>Reasignar canino requiere superusuario (comportamiento actual)</t>
  </si>
  <si>
    <t>Cualquier usuario autenticado puede reasignar (comportamiento actual).</t>
  </si>
  <si>
    <t>HTTP 200 para entrenadores y admins.</t>
  </si>
  <si>
    <t>Refleja el estado real del sistema (sin permisos explícitos añadidos).</t>
  </si>
  <si>
    <t>CDP_09</t>
  </si>
  <si>
    <t>Sesión con `fecha_fin &lt; fecha_ini` es rechazada (si se agrega validación)</t>
  </si>
  <si>
    <t>Si se agrega validación en `SesionEntrenamientoSerializer.validate()`, devuelve 400 con mensaje claro.</t>
  </si>
  <si>
    <t>HTTP 400 con `{"fecha_fin": ["La fecha de fin no puede ser anterior a la fecha de inicio."]}` (solo si validación implementada)</t>
  </si>
  <si>
    <t>Por implementar</t>
  </si>
  <si>
    <t>Opcional: mejora calidad de datos y evita inconsistencias en dashboard.</t>
  </si>
  <si>
    <t>Alta</t>
  </si>
  <si>
    <t>Casos</t>
  </si>
  <si>
    <t>OK</t>
  </si>
  <si>
    <t>NOK</t>
  </si>
  <si>
    <t>No ejecutado</t>
  </si>
  <si>
    <t>Bloqueado</t>
  </si>
  <si>
    <t>Obsoleto</t>
  </si>
  <si>
    <t>Total de casos</t>
  </si>
  <si>
    <t>% de  avance</t>
  </si>
  <si>
    <t>Total casos que ejecuto cada integrante del equipo</t>
  </si>
  <si>
    <t>Total Casos</t>
  </si>
  <si>
    <t>SI</t>
  </si>
  <si>
    <t>No Funcional</t>
  </si>
  <si>
    <t>NO</t>
  </si>
  <si>
    <t>UAT</t>
  </si>
  <si>
    <t>Código</t>
  </si>
  <si>
    <t>End to End</t>
  </si>
  <si>
    <t>Stress</t>
  </si>
  <si>
    <t>Rendimiento</t>
  </si>
  <si>
    <t>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</si>
</sst>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49.0"/>
      <color theme="1"/>
      <name val="Calibri"/>
    </font>
    <font/>
    <font>
      <sz val="10.0"/>
      <color theme="1"/>
      <name val="Arial"/>
    </font>
    <font>
      <sz val="10.0"/>
      <color rgb="FF1B1C1D"/>
      <name val="Arial"/>
    </font>
    <font>
      <sz val="11.0"/>
      <color rgb="FF000000"/>
      <name val="Inconsolata"/>
    </font>
    <font>
      <sz val="2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E2EFD9"/>
        <bgColor rgb="FFE2EFD9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32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7" fillId="2" fontId="1" numFmtId="0" xfId="0" applyAlignment="1" applyBorder="1" applyFont="1">
      <alignment horizontal="left" shrinkToFit="0" vertical="top" wrapText="1"/>
    </xf>
    <xf borderId="15" fillId="2" fontId="1" numFmtId="0" xfId="0" applyBorder="1" applyFont="1"/>
    <xf borderId="16" fillId="2" fontId="1" numFmtId="0" xfId="0" applyBorder="1" applyFont="1"/>
    <xf borderId="17" fillId="2" fontId="1" numFmtId="0" xfId="0" applyBorder="1" applyFont="1"/>
    <xf borderId="18" fillId="3" fontId="1" numFmtId="0" xfId="0" applyAlignment="1" applyBorder="1" applyFill="1" applyFont="1">
      <alignment horizontal="center" readingOrder="0"/>
    </xf>
    <xf borderId="19" fillId="3" fontId="1" numFmtId="0" xfId="0" applyAlignment="1" applyBorder="1" applyFont="1">
      <alignment horizontal="center" readingOrder="0"/>
    </xf>
    <xf borderId="18" fillId="3" fontId="1" numFmtId="0" xfId="0" applyAlignment="1" applyBorder="1" applyFont="1">
      <alignment readingOrder="0"/>
    </xf>
    <xf borderId="20" fillId="3" fontId="1" numFmtId="0" xfId="0" applyAlignment="1" applyBorder="1" applyFont="1">
      <alignment readingOrder="0"/>
    </xf>
    <xf borderId="0" fillId="0" fontId="1" numFmtId="0" xfId="0" applyFont="1"/>
    <xf borderId="19" fillId="4" fontId="4" numFmtId="0" xfId="0" applyAlignment="1" applyBorder="1" applyFill="1" applyFont="1">
      <alignment horizontal="center" readingOrder="0" shrinkToFit="0" vertical="center" wrapText="1"/>
    </xf>
    <xf borderId="19" fillId="0" fontId="4" numFmtId="0" xfId="0" applyAlignment="1" applyBorder="1" applyFont="1">
      <alignment horizontal="center" readingOrder="0" shrinkToFit="0" vertical="center" wrapText="1"/>
    </xf>
    <xf borderId="21" fillId="5" fontId="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9" fillId="0" fontId="5" numFmtId="0" xfId="0" applyAlignment="1" applyBorder="1" applyFont="1">
      <alignment horizontal="center" readingOrder="0" shrinkToFit="0" vertical="center" wrapText="1"/>
    </xf>
    <xf borderId="1" fillId="6" fontId="1" numFmtId="0" xfId="0" applyBorder="1" applyFill="1" applyFont="1"/>
    <xf borderId="19" fillId="4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21" fillId="5" fontId="4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/>
    </xf>
    <xf borderId="1" fillId="6" fontId="6" numFmtId="0" xfId="0" applyBorder="1" applyFont="1"/>
    <xf borderId="22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vertical="center"/>
    </xf>
    <xf borderId="19" fillId="2" fontId="1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vertical="center"/>
    </xf>
    <xf borderId="26" fillId="0" fontId="3" numFmtId="0" xfId="0" applyBorder="1" applyFont="1"/>
    <xf borderId="27" fillId="2" fontId="7" numFmtId="164" xfId="0" applyAlignment="1" applyBorder="1" applyFont="1" applyNumberFormat="1">
      <alignment horizontal="center" vertical="center"/>
    </xf>
    <xf borderId="28" fillId="0" fontId="3" numFmtId="0" xfId="0" applyBorder="1" applyFont="1"/>
    <xf borderId="22" fillId="2" fontId="7" numFmtId="9" xfId="0" applyAlignment="1" applyBorder="1" applyFont="1" applyNumberForma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7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25" fillId="2" fontId="1" numFmtId="0" xfId="0" applyBorder="1" applyFont="1"/>
    <xf borderId="18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407555561"/>
        <c:axId val="1161732455"/>
      </c:barChart>
      <c:catAx>
        <c:axId val="4075555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1732455"/>
      </c:catAx>
      <c:valAx>
        <c:axId val="11617324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7555561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Control!$E$36</c:f>
            </c:strRef>
          </c:cat>
          <c:val>
            <c:numRef>
              <c:f>Control!$F$36</c:f>
              <c:numCache/>
            </c:numRef>
          </c:val>
        </c:ser>
        <c:ser>
          <c:idx val="1"/>
          <c:order val="1"/>
          <c:cat>
            <c:strRef>
              <c:f>Control!$E$36</c:f>
            </c:strRef>
          </c:cat>
          <c:val>
            <c:numRef>
              <c:f>Control!$G$36</c:f>
              <c:numCache/>
            </c:numRef>
          </c:val>
        </c:ser>
        <c:axId val="50577842"/>
        <c:axId val="465633718"/>
      </c:barChart>
      <c:catAx>
        <c:axId val="50577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65633718"/>
      </c:catAx>
      <c:valAx>
        <c:axId val="465633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0577842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3</xdr:row>
      <xdr:rowOff>28575</xdr:rowOff>
    </xdr:from>
    <xdr:ext cx="4314825" cy="2714625"/>
    <xdr:graphicFrame>
      <xdr:nvGraphicFramePr>
        <xdr:cNvPr id="121675828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762000</xdr:colOff>
      <xdr:row>19</xdr:row>
      <xdr:rowOff>171450</xdr:rowOff>
    </xdr:from>
    <xdr:ext cx="4429125" cy="2571750"/>
    <xdr:graphicFrame>
      <xdr:nvGraphicFramePr>
        <xdr:cNvPr id="152265280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3" width="3.29"/>
    <col customWidth="1" min="4" max="4" width="9.43"/>
    <col customWidth="1" min="5" max="5" width="44.43"/>
    <col customWidth="1" min="6" max="10" width="9.43"/>
    <col customWidth="1" min="11" max="12" width="3.29"/>
    <col customWidth="1" min="13" max="25" width="10.71"/>
  </cols>
  <sheetData>
    <row r="1">
      <c r="A1" s="1">
        <v>1.0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5"/>
      <c r="C6" s="5"/>
      <c r="D6" s="1"/>
      <c r="E6" s="7" t="s">
        <v>0</v>
      </c>
      <c r="F6" s="8"/>
      <c r="G6" s="8"/>
      <c r="H6" s="8"/>
      <c r="I6" s="9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5"/>
      <c r="C7" s="5"/>
      <c r="D7" s="1"/>
      <c r="E7" s="10"/>
      <c r="I7" s="11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5"/>
      <c r="C8" s="5"/>
      <c r="D8" s="1"/>
      <c r="E8" s="10"/>
      <c r="I8" s="11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5"/>
      <c r="C9" s="5"/>
      <c r="D9" s="1"/>
      <c r="E9" s="10"/>
      <c r="I9" s="11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5"/>
      <c r="C10" s="5"/>
      <c r="D10" s="1"/>
      <c r="E10" s="12"/>
      <c r="F10" s="13"/>
      <c r="G10" s="13"/>
      <c r="H10" s="13"/>
      <c r="I10" s="14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5"/>
      <c r="C35" s="5"/>
      <c r="D35" s="1"/>
      <c r="E35" s="15" t="s">
        <v>1</v>
      </c>
      <c r="F35" s="8"/>
      <c r="G35" s="8"/>
      <c r="H35" s="8"/>
      <c r="I35" s="9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5"/>
      <c r="C36" s="5"/>
      <c r="D36" s="1"/>
      <c r="E36" s="10"/>
      <c r="I36" s="11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5"/>
      <c r="C37" s="5"/>
      <c r="D37" s="1"/>
      <c r="E37" s="10"/>
      <c r="I37" s="11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5"/>
      <c r="C38" s="5"/>
      <c r="D38" s="1"/>
      <c r="E38" s="10"/>
      <c r="I38" s="11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5"/>
      <c r="C39" s="5"/>
      <c r="D39" s="1"/>
      <c r="E39" s="12"/>
      <c r="F39" s="13"/>
      <c r="G39" s="13"/>
      <c r="H39" s="13"/>
      <c r="I39" s="14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5"/>
      <c r="C43" s="16"/>
      <c r="D43" s="17"/>
      <c r="E43" s="17"/>
      <c r="F43" s="17"/>
      <c r="G43" s="17"/>
      <c r="H43" s="17"/>
      <c r="I43" s="17"/>
      <c r="J43" s="17"/>
      <c r="K43" s="18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</sheetData>
  <mergeCells count="2">
    <mergeCell ref="E6:I10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5.14"/>
    <col customWidth="1" min="3" max="3" width="12.29"/>
    <col customWidth="1" min="4" max="4" width="84.86"/>
    <col customWidth="1" min="5" max="5" width="57.86"/>
    <col customWidth="1" min="6" max="6" width="26.86"/>
    <col customWidth="1" min="7" max="7" width="9.57"/>
    <col customWidth="1" min="8" max="8" width="22.0"/>
    <col customWidth="1" min="9" max="9" width="11.71"/>
    <col customWidth="1" min="10" max="10" width="20.43"/>
    <col customWidth="1" min="11" max="11" width="11.86"/>
  </cols>
  <sheetData>
    <row r="1">
      <c r="A1" s="19" t="s">
        <v>2</v>
      </c>
      <c r="B1" s="19" t="s">
        <v>3</v>
      </c>
      <c r="C1" s="19" t="s">
        <v>4</v>
      </c>
      <c r="D1" s="20" t="s">
        <v>5</v>
      </c>
      <c r="E1" s="19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2" t="s">
        <v>11</v>
      </c>
      <c r="K1" s="21" t="s">
        <v>12</v>
      </c>
      <c r="L1" s="23"/>
    </row>
    <row r="2">
      <c r="A2" s="24" t="s">
        <v>13</v>
      </c>
      <c r="B2" s="25" t="s">
        <v>14</v>
      </c>
      <c r="C2" s="26" t="s">
        <v>15</v>
      </c>
      <c r="D2" s="27" t="s">
        <v>16</v>
      </c>
      <c r="E2" s="25" t="s">
        <v>17</v>
      </c>
      <c r="F2" s="25" t="s">
        <v>18</v>
      </c>
      <c r="G2" s="25" t="s">
        <v>19</v>
      </c>
      <c r="H2" s="25" t="s">
        <v>20</v>
      </c>
      <c r="I2" s="25" t="s">
        <v>21</v>
      </c>
      <c r="J2" s="25" t="s">
        <v>22</v>
      </c>
      <c r="K2" s="28" t="s">
        <v>23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4" t="s">
        <v>24</v>
      </c>
      <c r="B3" s="25" t="s">
        <v>25</v>
      </c>
      <c r="C3" s="26" t="s">
        <v>15</v>
      </c>
      <c r="D3" s="25" t="s">
        <v>26</v>
      </c>
      <c r="E3" s="25" t="s">
        <v>27</v>
      </c>
      <c r="F3" s="25" t="s">
        <v>18</v>
      </c>
      <c r="G3" s="25" t="s">
        <v>19</v>
      </c>
      <c r="H3" s="25" t="s">
        <v>20</v>
      </c>
      <c r="I3" s="25" t="s">
        <v>28</v>
      </c>
      <c r="J3" s="25" t="s">
        <v>22</v>
      </c>
      <c r="K3" s="28" t="s">
        <v>23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4" t="s">
        <v>29</v>
      </c>
      <c r="B4" s="25" t="s">
        <v>30</v>
      </c>
      <c r="C4" s="26" t="s">
        <v>15</v>
      </c>
      <c r="D4" s="25" t="s">
        <v>31</v>
      </c>
      <c r="E4" s="25" t="s">
        <v>32</v>
      </c>
      <c r="F4" s="25" t="s">
        <v>18</v>
      </c>
      <c r="G4" s="25" t="s">
        <v>19</v>
      </c>
      <c r="H4" s="25" t="s">
        <v>20</v>
      </c>
      <c r="I4" s="25" t="s">
        <v>33</v>
      </c>
      <c r="J4" s="25" t="s">
        <v>22</v>
      </c>
      <c r="K4" s="28" t="s">
        <v>34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4" t="s">
        <v>35</v>
      </c>
      <c r="B5" s="25" t="s">
        <v>36</v>
      </c>
      <c r="C5" s="26" t="s">
        <v>15</v>
      </c>
      <c r="D5" s="25" t="s">
        <v>37</v>
      </c>
      <c r="E5" s="25" t="s">
        <v>38</v>
      </c>
      <c r="F5" s="28" t="s">
        <v>39</v>
      </c>
      <c r="G5" s="25" t="s">
        <v>19</v>
      </c>
      <c r="H5" s="28" t="s">
        <v>20</v>
      </c>
      <c r="I5" s="25" t="s">
        <v>40</v>
      </c>
      <c r="J5" s="25" t="s">
        <v>22</v>
      </c>
      <c r="K5" s="28" t="s">
        <v>34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4" t="s">
        <v>41</v>
      </c>
      <c r="B6" s="25" t="s">
        <v>42</v>
      </c>
      <c r="C6" s="26" t="s">
        <v>15</v>
      </c>
      <c r="D6" s="25" t="s">
        <v>43</v>
      </c>
      <c r="E6" s="25" t="s">
        <v>44</v>
      </c>
      <c r="F6" s="28" t="s">
        <v>18</v>
      </c>
      <c r="G6" s="25" t="s">
        <v>19</v>
      </c>
      <c r="H6" s="28" t="s">
        <v>20</v>
      </c>
      <c r="I6" s="25" t="s">
        <v>45</v>
      </c>
      <c r="J6" s="25" t="s">
        <v>22</v>
      </c>
      <c r="K6" s="28" t="s">
        <v>34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4" t="s">
        <v>46</v>
      </c>
      <c r="B7" s="27" t="s">
        <v>47</v>
      </c>
      <c r="C7" s="26" t="s">
        <v>15</v>
      </c>
      <c r="D7" s="25" t="s">
        <v>48</v>
      </c>
      <c r="E7" s="25" t="s">
        <v>49</v>
      </c>
      <c r="F7" s="28" t="s">
        <v>18</v>
      </c>
      <c r="G7" s="25" t="s">
        <v>19</v>
      </c>
      <c r="H7" s="28" t="s">
        <v>20</v>
      </c>
      <c r="I7" s="25" t="s">
        <v>50</v>
      </c>
      <c r="J7" s="25" t="s">
        <v>22</v>
      </c>
      <c r="K7" s="28" t="s">
        <v>23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4" t="s">
        <v>51</v>
      </c>
      <c r="B8" s="25" t="s">
        <v>52</v>
      </c>
      <c r="C8" s="26" t="s">
        <v>15</v>
      </c>
      <c r="D8" s="25" t="s">
        <v>53</v>
      </c>
      <c r="E8" s="25" t="s">
        <v>54</v>
      </c>
      <c r="F8" s="28" t="s">
        <v>39</v>
      </c>
      <c r="G8" s="25" t="s">
        <v>19</v>
      </c>
      <c r="H8" s="28" t="s">
        <v>20</v>
      </c>
      <c r="I8" s="25" t="s">
        <v>55</v>
      </c>
      <c r="J8" s="25" t="s">
        <v>22</v>
      </c>
      <c r="K8" s="28" t="s">
        <v>23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4" t="s">
        <v>56</v>
      </c>
      <c r="B9" s="25" t="s">
        <v>57</v>
      </c>
      <c r="C9" s="26" t="s">
        <v>15</v>
      </c>
      <c r="D9" s="25" t="s">
        <v>58</v>
      </c>
      <c r="E9" s="25" t="s">
        <v>59</v>
      </c>
      <c r="F9" s="28" t="s">
        <v>39</v>
      </c>
      <c r="G9" s="25" t="s">
        <v>19</v>
      </c>
      <c r="H9" s="28" t="s">
        <v>20</v>
      </c>
      <c r="I9" s="25" t="s">
        <v>60</v>
      </c>
      <c r="J9" s="25" t="s">
        <v>22</v>
      </c>
      <c r="K9" s="28" t="s">
        <v>23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4" t="s">
        <v>61</v>
      </c>
      <c r="B10" s="25" t="s">
        <v>62</v>
      </c>
      <c r="C10" s="26" t="s">
        <v>15</v>
      </c>
      <c r="D10" s="25" t="s">
        <v>63</v>
      </c>
      <c r="E10" s="25" t="s">
        <v>64</v>
      </c>
      <c r="F10" s="28" t="s">
        <v>18</v>
      </c>
      <c r="G10" s="25" t="s">
        <v>65</v>
      </c>
      <c r="H10" s="28" t="s">
        <v>20</v>
      </c>
      <c r="I10" s="25" t="s">
        <v>66</v>
      </c>
      <c r="J10" s="25" t="s">
        <v>22</v>
      </c>
      <c r="K10" s="28" t="s">
        <v>67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0"/>
      <c r="B11" s="31"/>
      <c r="C11" s="32"/>
      <c r="D11" s="31"/>
      <c r="E11" s="31"/>
      <c r="F11" s="33"/>
      <c r="G11" s="31"/>
      <c r="H11" s="33"/>
      <c r="I11" s="31"/>
      <c r="J11" s="31"/>
      <c r="K11" s="33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0"/>
      <c r="B12" s="31"/>
      <c r="C12" s="32"/>
      <c r="D12" s="31"/>
      <c r="E12" s="31"/>
      <c r="F12" s="33"/>
      <c r="G12" s="31"/>
      <c r="H12" s="33"/>
      <c r="I12" s="31"/>
      <c r="J12" s="31"/>
      <c r="K12" s="33"/>
    </row>
    <row r="13">
      <c r="A13" s="30"/>
      <c r="B13" s="31"/>
      <c r="C13" s="32"/>
      <c r="D13" s="31"/>
      <c r="E13" s="31"/>
      <c r="F13" s="33"/>
      <c r="G13" s="31"/>
      <c r="H13" s="33"/>
      <c r="I13" s="31"/>
      <c r="J13" s="31"/>
      <c r="K13" s="33"/>
    </row>
    <row r="14">
      <c r="A14" s="30"/>
      <c r="B14" s="31"/>
      <c r="C14" s="32"/>
      <c r="D14" s="31"/>
      <c r="E14" s="31"/>
      <c r="F14" s="33"/>
      <c r="G14" s="31"/>
      <c r="H14" s="33"/>
      <c r="I14" s="31"/>
      <c r="J14" s="31"/>
      <c r="K14" s="33"/>
    </row>
    <row r="15">
      <c r="A15" s="30"/>
      <c r="B15" s="31"/>
      <c r="C15" s="32"/>
      <c r="D15" s="31"/>
      <c r="E15" s="31"/>
      <c r="F15" s="33"/>
      <c r="G15" s="31"/>
      <c r="H15" s="33"/>
      <c r="I15" s="31"/>
      <c r="J15" s="31"/>
      <c r="K15" s="33"/>
    </row>
    <row r="16">
      <c r="A16" s="30"/>
      <c r="B16" s="31"/>
      <c r="C16" s="32"/>
      <c r="D16" s="31"/>
      <c r="E16" s="31"/>
      <c r="F16" s="33"/>
      <c r="G16" s="31"/>
      <c r="H16" s="33"/>
      <c r="I16" s="31"/>
      <c r="J16" s="31"/>
      <c r="K16" s="33"/>
    </row>
    <row r="17">
      <c r="A17" s="30"/>
      <c r="B17" s="31"/>
      <c r="C17" s="32"/>
      <c r="D17" s="31"/>
      <c r="E17" s="31"/>
      <c r="F17" s="33"/>
      <c r="G17" s="31"/>
      <c r="H17" s="33"/>
      <c r="I17" s="31"/>
      <c r="J17" s="31"/>
      <c r="K17" s="33"/>
    </row>
    <row r="18">
      <c r="A18" s="30"/>
      <c r="B18" s="31"/>
      <c r="C18" s="32"/>
      <c r="D18" s="31"/>
      <c r="E18" s="31"/>
      <c r="F18" s="33"/>
      <c r="G18" s="31"/>
      <c r="H18" s="33"/>
      <c r="I18" s="31"/>
      <c r="J18" s="31"/>
      <c r="K18" s="33"/>
    </row>
    <row r="19">
      <c r="A19" s="30"/>
      <c r="B19" s="31"/>
      <c r="C19" s="32"/>
      <c r="D19" s="31"/>
      <c r="E19" s="31"/>
      <c r="F19" s="33"/>
      <c r="G19" s="31"/>
      <c r="H19" s="33"/>
      <c r="I19" s="31"/>
      <c r="J19" s="31"/>
      <c r="K19" s="33"/>
    </row>
    <row r="20">
      <c r="A20" s="30"/>
      <c r="B20" s="31"/>
      <c r="C20" s="32"/>
      <c r="D20" s="31"/>
      <c r="E20" s="31"/>
      <c r="F20" s="33"/>
      <c r="G20" s="31"/>
      <c r="H20" s="33"/>
      <c r="I20" s="31"/>
      <c r="J20" s="31"/>
      <c r="K20" s="33"/>
    </row>
    <row r="21">
      <c r="A21" s="30"/>
      <c r="B21" s="31"/>
      <c r="C21" s="32"/>
      <c r="D21" s="31"/>
      <c r="E21" s="31"/>
      <c r="F21" s="33"/>
      <c r="G21" s="31"/>
      <c r="H21" s="33"/>
      <c r="I21" s="31"/>
      <c r="J21" s="31"/>
      <c r="K21" s="33"/>
    </row>
  </sheetData>
  <dataValidations>
    <dataValidation type="list" allowBlank="1" showErrorMessage="1" sqref="C2:C21">
      <formula1>'Datos del plan'!$A$1:$A$8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1.57"/>
    <col customWidth="1" min="5" max="5" width="4.86"/>
    <col customWidth="1" min="6" max="6" width="17.0"/>
    <col customWidth="1" min="7" max="11" width="10.71"/>
    <col customWidth="1" min="12" max="12" width="5.43"/>
    <col customWidth="1" min="13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W1" s="1"/>
    </row>
    <row r="2" ht="14.25" customHeight="1">
      <c r="A2" s="1"/>
      <c r="B2" s="34"/>
      <c r="C2" s="34"/>
      <c r="D2" s="3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Z2" s="1"/>
    </row>
    <row r="3" ht="14.25" customHeight="1">
      <c r="A3" s="1"/>
      <c r="B3" s="34"/>
      <c r="C3" s="34"/>
      <c r="D3" s="3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Z3" s="1"/>
    </row>
    <row r="4" ht="14.25" customHeight="1">
      <c r="A4" s="1"/>
      <c r="B4" s="34"/>
      <c r="C4" s="34"/>
      <c r="D4" s="3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5"/>
      <c r="Q5" s="1"/>
      <c r="R5" s="1"/>
      <c r="Z5" s="1"/>
    </row>
    <row r="6" ht="14.25" customHeight="1">
      <c r="A6" s="1"/>
      <c r="B6" s="36" t="s">
        <v>68</v>
      </c>
      <c r="C6" s="37" t="s">
        <v>69</v>
      </c>
      <c r="D6" s="38" t="str">
        <f>COUNTIF('Identificación Casos'!#REF!,Control!C6)</f>
        <v>#ERROR!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/>
      <c r="Q6" s="1"/>
      <c r="R6" s="1"/>
      <c r="Z6" s="1"/>
    </row>
    <row r="7" ht="14.25" customHeight="1">
      <c r="A7" s="1"/>
      <c r="B7" s="39"/>
      <c r="C7" s="37" t="s">
        <v>70</v>
      </c>
      <c r="D7" s="38" t="str">
        <f>COUNTIF('Identificación Casos'!#REF!,Control!C7)</f>
        <v>#ERROR!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Z7" s="1"/>
    </row>
    <row r="8" ht="14.25" customHeight="1">
      <c r="A8" s="1"/>
      <c r="B8" s="39"/>
      <c r="C8" s="37" t="s">
        <v>71</v>
      </c>
      <c r="D8" s="38">
        <f>COUNTIF('Identificación Casos'!$G$2:G13,C8)</f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Z8" s="1"/>
    </row>
    <row r="9" ht="14.25" customHeight="1">
      <c r="A9" s="1"/>
      <c r="B9" s="39"/>
      <c r="C9" s="37" t="s">
        <v>72</v>
      </c>
      <c r="D9" s="38">
        <f>COUNTIF('Identificación Casos'!$G$2:G14,C9)</f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35"/>
      <c r="P9" s="1"/>
      <c r="Q9" s="1"/>
      <c r="R9" s="1"/>
      <c r="Z9" s="1"/>
    </row>
    <row r="10" ht="14.25" customHeight="1">
      <c r="A10" s="1"/>
      <c r="B10" s="40"/>
      <c r="C10" s="37" t="s">
        <v>73</v>
      </c>
      <c r="D10" s="38">
        <f>COUNTIF('Identificación Casos'!$G$2:G15,C10)</f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Z10" s="1"/>
    </row>
    <row r="11" ht="14.25" customHeight="1">
      <c r="A11" s="1"/>
      <c r="B11" s="41"/>
      <c r="C11" s="41"/>
      <c r="D11" s="4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Z11" s="1"/>
    </row>
    <row r="12" ht="14.25" customHeight="1">
      <c r="A12" s="1"/>
      <c r="B12" s="41"/>
      <c r="C12" s="41"/>
      <c r="D12" s="4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Z12" s="1"/>
    </row>
    <row r="13" ht="14.25" customHeight="1">
      <c r="A13" s="1"/>
      <c r="B13" s="43" t="s">
        <v>74</v>
      </c>
      <c r="C13" s="44"/>
      <c r="D13" s="38">
        <f>COUNTIF('Identificación Casos'!A2:A21,"*")</f>
        <v>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Z13" s="1"/>
    </row>
    <row r="14" ht="14.25" customHeight="1">
      <c r="A14" s="1"/>
      <c r="B14" s="41"/>
      <c r="C14" s="41"/>
      <c r="D14" s="4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Z14" s="1"/>
    </row>
    <row r="15" ht="14.25" customHeight="1">
      <c r="A15" s="1"/>
      <c r="B15" s="41"/>
      <c r="C15" s="41"/>
      <c r="D15" s="4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Z15" s="1"/>
    </row>
    <row r="16" ht="14.25" customHeight="1">
      <c r="A16" s="1"/>
      <c r="B16" s="45" t="s">
        <v>75</v>
      </c>
      <c r="C16" s="46"/>
      <c r="D16" s="47" t="str">
        <f>SUM(D6+D7+D9+D10)/D13</f>
        <v>#ERROR!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Z16" s="1"/>
    </row>
    <row r="17" ht="14.25" customHeight="1">
      <c r="A17" s="1"/>
      <c r="B17" s="48"/>
      <c r="C17" s="49"/>
      <c r="D17" s="40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50"/>
      <c r="N20" s="9"/>
      <c r="O20" s="1"/>
      <c r="P20" s="1"/>
      <c r="Q20" s="1"/>
      <c r="R20" s="1"/>
      <c r="Z20" s="1"/>
    </row>
    <row r="21" ht="14.25" customHeight="1">
      <c r="A21" s="1"/>
      <c r="B21" s="35"/>
      <c r="C21" s="1"/>
      <c r="D21" s="1"/>
      <c r="E21" s="1"/>
      <c r="F21" s="1"/>
      <c r="G21" s="1"/>
      <c r="H21" s="1"/>
      <c r="I21" s="1"/>
      <c r="J21" s="1"/>
      <c r="K21" s="1"/>
      <c r="L21" s="1"/>
      <c r="M21" s="12"/>
      <c r="N21" s="14"/>
      <c r="O21" s="1"/>
      <c r="P21" s="1"/>
      <c r="Q21" s="1"/>
      <c r="R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R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R23" s="1"/>
    </row>
    <row r="24" ht="14.25" customHeight="1">
      <c r="A24" s="1"/>
      <c r="D24" s="1"/>
      <c r="E24" s="1"/>
      <c r="F24" s="1"/>
      <c r="G24" s="1"/>
      <c r="H24" s="1"/>
      <c r="I24" s="1"/>
      <c r="J24" s="1"/>
      <c r="R24" s="1"/>
    </row>
    <row r="25" ht="14.25" customHeight="1">
      <c r="A25" s="1"/>
      <c r="D25" s="1"/>
      <c r="E25" s="1"/>
      <c r="F25" s="1"/>
      <c r="G25" s="1"/>
      <c r="H25" s="1"/>
      <c r="I25" s="1"/>
      <c r="J25" s="1"/>
      <c r="R25" s="1"/>
    </row>
    <row r="26" ht="14.25" customHeight="1">
      <c r="A26" s="1"/>
      <c r="D26" s="1"/>
      <c r="E26" s="1"/>
      <c r="F26" s="1"/>
      <c r="G26" s="1"/>
      <c r="H26" s="1"/>
      <c r="I26" s="1"/>
      <c r="J26" s="1"/>
      <c r="R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51" t="s">
        <v>76</v>
      </c>
      <c r="C36" s="52"/>
      <c r="D36" s="44"/>
      <c r="E36" s="53" t="s">
        <v>22</v>
      </c>
      <c r="F36" s="44"/>
      <c r="G36" s="54">
        <f>COUNTIF('Identificación Casos'!J2:J971,E36)</f>
        <v>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H37" s="23"/>
      <c r="I37" s="23"/>
      <c r="J37" s="23"/>
      <c r="K37" s="2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F38" s="23" t="s">
        <v>77</v>
      </c>
      <c r="G38" s="23">
        <f>SUM(G36)</f>
        <v>9</v>
      </c>
      <c r="H38" s="23"/>
      <c r="I38" s="23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23"/>
      <c r="I39" s="23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">
    <mergeCell ref="B6:B10"/>
    <mergeCell ref="B13:C13"/>
    <mergeCell ref="B16:C17"/>
    <mergeCell ref="D16:D17"/>
    <mergeCell ref="M20:N21"/>
    <mergeCell ref="B36:D36"/>
    <mergeCell ref="E36:F3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23" t="s">
        <v>15</v>
      </c>
      <c r="B1" s="23" t="s">
        <v>69</v>
      </c>
      <c r="C1" s="23" t="s">
        <v>23</v>
      </c>
      <c r="D1" s="23" t="s">
        <v>78</v>
      </c>
    </row>
    <row r="2" ht="14.25" customHeight="1">
      <c r="A2" s="23" t="s">
        <v>79</v>
      </c>
      <c r="B2" s="23" t="s">
        <v>70</v>
      </c>
      <c r="C2" s="23" t="s">
        <v>34</v>
      </c>
      <c r="D2" s="23" t="s">
        <v>80</v>
      </c>
    </row>
    <row r="3" ht="14.25" customHeight="1">
      <c r="A3" s="23" t="s">
        <v>81</v>
      </c>
      <c r="B3" s="23" t="s">
        <v>71</v>
      </c>
      <c r="C3" s="23" t="s">
        <v>67</v>
      </c>
    </row>
    <row r="4" ht="14.25" customHeight="1">
      <c r="A4" s="23" t="s">
        <v>82</v>
      </c>
      <c r="B4" s="23" t="s">
        <v>72</v>
      </c>
    </row>
    <row r="5" ht="14.25" customHeight="1">
      <c r="A5" s="23" t="s">
        <v>83</v>
      </c>
      <c r="B5" s="23" t="s">
        <v>73</v>
      </c>
    </row>
    <row r="6" ht="14.25" customHeight="1">
      <c r="A6" s="23" t="s">
        <v>84</v>
      </c>
    </row>
    <row r="7" ht="14.25" customHeight="1">
      <c r="A7" s="23" t="s">
        <v>85</v>
      </c>
    </row>
    <row r="8" ht="14.25" customHeight="1">
      <c r="A8" s="23" t="s">
        <v>86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